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3_reporting/data/"/>
    </mc:Choice>
  </mc:AlternateContent>
  <xr:revisionPtr revIDLastSave="0" documentId="13_ncr:1_{E59B1F98-E4E4-0B43-88BF-CC4BA4EC8086}" xr6:coauthVersionLast="47" xr6:coauthVersionMax="47" xr10:uidLastSave="{00000000-0000-0000-0000-000000000000}"/>
  <bookViews>
    <workbookView xWindow="0" yWindow="640" windowWidth="30240" windowHeight="1900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4" i="2"/>
  <c r="AM42" i="2"/>
  <c r="AM37" i="2"/>
  <c r="AM32"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L7" i="2" s="1"/>
  <c r="AM7" i="2" s="1"/>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s="1"/>
  <c r="AL12" i="2" s="1"/>
  <c r="AM12" i="2" s="1"/>
  <c r="AG12" i="2"/>
  <c r="AH12" i="2"/>
  <c r="AI12" i="2"/>
  <c r="AJ12" i="2"/>
  <c r="AF13" i="2"/>
  <c r="AK13" i="2" s="1"/>
  <c r="AG13" i="2"/>
  <c r="AH13" i="2"/>
  <c r="AI13" i="2"/>
  <c r="AJ13" i="2"/>
  <c r="AL13" i="2" s="1"/>
  <c r="AM13" i="2" s="1"/>
  <c r="AF14" i="2"/>
  <c r="AK14" i="2"/>
  <c r="AG14" i="2"/>
  <c r="AH14" i="2"/>
  <c r="AI14" i="2"/>
  <c r="AJ14" i="2"/>
  <c r="AF15" i="2"/>
  <c r="AK15" i="2" s="1"/>
  <c r="AG15" i="2"/>
  <c r="AL15" i="2" s="1"/>
  <c r="AM15" i="2" s="1"/>
  <c r="AH15" i="2"/>
  <c r="AI15" i="2"/>
  <c r="AJ15" i="2"/>
  <c r="AF16" i="2"/>
  <c r="AK16" i="2" s="1"/>
  <c r="AG16" i="2"/>
  <c r="AH16" i="2"/>
  <c r="AI16" i="2"/>
  <c r="AJ16" i="2"/>
  <c r="AF17" i="2"/>
  <c r="AK17" i="2" s="1"/>
  <c r="AG17" i="2"/>
  <c r="AH17" i="2"/>
  <c r="AI17" i="2"/>
  <c r="AL17" i="2" s="1"/>
  <c r="AM17" i="2" s="1"/>
  <c r="AJ17" i="2"/>
  <c r="AF18" i="2"/>
  <c r="AK18" i="2" s="1"/>
  <c r="AG18" i="2"/>
  <c r="AH18" i="2"/>
  <c r="AI18" i="2"/>
  <c r="AJ18" i="2"/>
  <c r="AF19" i="2"/>
  <c r="AK19" i="2" s="1"/>
  <c r="AG19" i="2"/>
  <c r="AH19" i="2"/>
  <c r="AI19" i="2"/>
  <c r="AJ19" i="2"/>
  <c r="AL19" i="2" s="1"/>
  <c r="AM19" i="2" s="1"/>
  <c r="AF20" i="2"/>
  <c r="AK20" i="2"/>
  <c r="AG20" i="2"/>
  <c r="AH20" i="2"/>
  <c r="AL20" i="2" s="1"/>
  <c r="AM20" i="2" s="1"/>
  <c r="AI20" i="2"/>
  <c r="AJ20" i="2"/>
  <c r="AF21" i="2"/>
  <c r="AK21" i="2" s="1"/>
  <c r="AG21" i="2"/>
  <c r="AL21" i="2" s="1"/>
  <c r="AM21" i="2" s="1"/>
  <c r="AH21" i="2"/>
  <c r="AI21" i="2"/>
  <c r="AJ21" i="2"/>
  <c r="AF22" i="2"/>
  <c r="AK22" i="2" s="1"/>
  <c r="AG22" i="2"/>
  <c r="AH22" i="2"/>
  <c r="AI22" i="2"/>
  <c r="AJ22" i="2"/>
  <c r="AF23" i="2"/>
  <c r="AK23" i="2" s="1"/>
  <c r="AG23" i="2"/>
  <c r="AH23" i="2"/>
  <c r="AI23" i="2"/>
  <c r="AJ23" i="2"/>
  <c r="AF24" i="2"/>
  <c r="AK24" i="2"/>
  <c r="AG24" i="2"/>
  <c r="AH24" i="2"/>
  <c r="AI24" i="2"/>
  <c r="AJ24" i="2"/>
  <c r="AF25" i="2"/>
  <c r="AK25" i="2" s="1"/>
  <c r="AG25" i="2"/>
  <c r="AH25" i="2"/>
  <c r="AI25" i="2"/>
  <c r="AL25" i="2" s="1"/>
  <c r="AM25" i="2" s="1"/>
  <c r="AJ25" i="2"/>
  <c r="AF26" i="2"/>
  <c r="AK26" i="2" s="1"/>
  <c r="AG26" i="2"/>
  <c r="AH26" i="2"/>
  <c r="AI26" i="2"/>
  <c r="AJ26" i="2"/>
  <c r="AF27" i="2"/>
  <c r="AK27" i="2" s="1"/>
  <c r="AG27" i="2"/>
  <c r="AH27" i="2"/>
  <c r="AI27" i="2"/>
  <c r="AJ27" i="2"/>
  <c r="AF28" i="2"/>
  <c r="AK28" i="2"/>
  <c r="AG28" i="2"/>
  <c r="AH28" i="2"/>
  <c r="AL28" i="2" s="1"/>
  <c r="AM28" i="2" s="1"/>
  <c r="AI28" i="2"/>
  <c r="AJ28" i="2"/>
  <c r="AF29" i="2"/>
  <c r="AK29" i="2" s="1"/>
  <c r="AG29" i="2"/>
  <c r="AL29" i="2" s="1"/>
  <c r="AM29" i="2" s="1"/>
  <c r="AH29" i="2"/>
  <c r="AI29" i="2"/>
  <c r="AJ29" i="2"/>
  <c r="AF30" i="2"/>
  <c r="AK30" i="2" s="1"/>
  <c r="AG30" i="2"/>
  <c r="AH30" i="2"/>
  <c r="AI30" i="2"/>
  <c r="AL30" i="2" s="1"/>
  <c r="AM30" i="2" s="1"/>
  <c r="AJ30" i="2"/>
  <c r="AF31" i="2"/>
  <c r="AK31" i="2" s="1"/>
  <c r="AG31" i="2"/>
  <c r="AH31" i="2"/>
  <c r="AL31" i="2" s="1"/>
  <c r="AM31" i="2" s="1"/>
  <c r="AI31" i="2"/>
  <c r="AJ31" i="2"/>
  <c r="AF32" i="2"/>
  <c r="AK32" i="2" s="1"/>
  <c r="AG32" i="2"/>
  <c r="AH32" i="2"/>
  <c r="AI32" i="2"/>
  <c r="AJ32" i="2"/>
  <c r="AF33" i="2"/>
  <c r="AK33" i="2" s="1"/>
  <c r="AG33" i="2"/>
  <c r="AH33" i="2"/>
  <c r="AI33" i="2"/>
  <c r="AJ33" i="2"/>
  <c r="AF34" i="2"/>
  <c r="AK34" i="2" s="1"/>
  <c r="AG34" i="2"/>
  <c r="AL34" i="2" s="1"/>
  <c r="AM34" i="2" s="1"/>
  <c r="AH34" i="2"/>
  <c r="AI34" i="2"/>
  <c r="AJ34" i="2"/>
  <c r="AF35" i="2"/>
  <c r="AK35" i="2" s="1"/>
  <c r="AG35" i="2"/>
  <c r="AH35" i="2"/>
  <c r="AI35" i="2"/>
  <c r="AJ35" i="2"/>
  <c r="AL35" i="2" s="1"/>
  <c r="AM35" i="2" s="1"/>
  <c r="AF36" i="2"/>
  <c r="AK36" i="2"/>
  <c r="AG36" i="2"/>
  <c r="AH36" i="2"/>
  <c r="AL36" i="2" s="1"/>
  <c r="AM36" i="2" s="1"/>
  <c r="AI36" i="2"/>
  <c r="AJ36" i="2"/>
  <c r="AF37" i="2"/>
  <c r="AK37" i="2" s="1"/>
  <c r="AG37" i="2"/>
  <c r="AH37" i="2"/>
  <c r="AI37" i="2"/>
  <c r="AJ37" i="2"/>
  <c r="AF38" i="2"/>
  <c r="AK38" i="2" s="1"/>
  <c r="AG38" i="2"/>
  <c r="AH38" i="2"/>
  <c r="AI38" i="2"/>
  <c r="AJ38" i="2"/>
  <c r="AF39" i="2"/>
  <c r="AK39" i="2" s="1"/>
  <c r="AG39" i="2"/>
  <c r="AH39" i="2"/>
  <c r="AL39" i="2" s="1"/>
  <c r="AM39" i="2" s="1"/>
  <c r="AI39" i="2"/>
  <c r="AJ39" i="2"/>
  <c r="AF40" i="2"/>
  <c r="AK40" i="2"/>
  <c r="AG40" i="2"/>
  <c r="AH40" i="2"/>
  <c r="AI40" i="2"/>
  <c r="AJ40" i="2"/>
  <c r="AL40" i="2" s="1"/>
  <c r="AM40" i="2" s="1"/>
  <c r="AF41" i="2"/>
  <c r="AK41" i="2" s="1"/>
  <c r="AG41" i="2"/>
  <c r="AH41" i="2"/>
  <c r="AI41" i="2"/>
  <c r="AL41" i="2" s="1"/>
  <c r="AM41" i="2" s="1"/>
  <c r="AJ41" i="2"/>
  <c r="AF42" i="2"/>
  <c r="AK42" i="2" s="1"/>
  <c r="AG42" i="2"/>
  <c r="AH42" i="2"/>
  <c r="AI42" i="2"/>
  <c r="AJ42" i="2"/>
  <c r="AF43" i="2"/>
  <c r="AK43" i="2" s="1"/>
  <c r="AG43" i="2"/>
  <c r="AH43" i="2"/>
  <c r="AI43" i="2"/>
  <c r="AJ43" i="2"/>
  <c r="AL43" i="2" s="1"/>
  <c r="AM43" i="2" s="1"/>
  <c r="AF44" i="2"/>
  <c r="AK44" i="2" s="1"/>
  <c r="AL44" i="2" s="1"/>
  <c r="AG44" i="2"/>
  <c r="AH44" i="2"/>
  <c r="AI44" i="2"/>
  <c r="AJ44" i="2"/>
  <c r="AF45" i="2"/>
  <c r="AK45" i="2" s="1"/>
  <c r="AG45" i="2"/>
  <c r="AL45" i="2" s="1"/>
  <c r="AM45" i="2" s="1"/>
  <c r="AH45" i="2"/>
  <c r="AI45" i="2"/>
  <c r="AJ45" i="2"/>
  <c r="AF46" i="2"/>
  <c r="AK46" i="2" s="1"/>
  <c r="AL46" i="2" s="1"/>
  <c r="AM46" i="2" s="1"/>
  <c r="AG46" i="2"/>
  <c r="AH46" i="2"/>
  <c r="AI46" i="2"/>
  <c r="AJ46" i="2"/>
  <c r="AF47" i="2"/>
  <c r="AK47" i="2" s="1"/>
  <c r="AG47" i="2"/>
  <c r="AH47" i="2"/>
  <c r="AL47" i="2" s="1"/>
  <c r="AM47" i="2" s="1"/>
  <c r="AI47" i="2"/>
  <c r="AJ47" i="2"/>
  <c r="AF48" i="2"/>
  <c r="AK48" i="2"/>
  <c r="AG48" i="2"/>
  <c r="AL48" i="2" s="1"/>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L292" i="2" s="1"/>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L1001" i="2" s="1"/>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L2605" i="2"/>
  <c r="AI2605" i="2"/>
  <c r="AJ2605" i="2"/>
  <c r="AF2606" i="2"/>
  <c r="AK2606" i="2"/>
  <c r="AG2606" i="2"/>
  <c r="AH2606" i="2"/>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L3099" i="2" s="1"/>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s="1"/>
  <c r="AG3361" i="2"/>
  <c r="AH3361" i="2"/>
  <c r="AI3361" i="2"/>
  <c r="AJ3361" i="2"/>
  <c r="AF3362" i="2"/>
  <c r="AK3362" i="2"/>
  <c r="AG3362" i="2"/>
  <c r="AH3362" i="2"/>
  <c r="AI3362" i="2"/>
  <c r="AJ3362" i="2"/>
  <c r="AF3363" i="2"/>
  <c r="AK3363" i="2" s="1"/>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s="1"/>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H3493" i="2"/>
  <c r="AL3493" i="2"/>
  <c r="AI3493" i="2"/>
  <c r="AJ3493" i="2"/>
  <c r="AF3494" i="2"/>
  <c r="AG3494" i="2"/>
  <c r="AH3494" i="2"/>
  <c r="AI3494" i="2"/>
  <c r="AJ3494" i="2"/>
  <c r="AK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L3825" i="2" s="1"/>
  <c r="AI3825" i="2"/>
  <c r="AJ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H3835" i="2"/>
  <c r="AI3835" i="2"/>
  <c r="AL3835" i="2" s="1"/>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L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L3948" i="2" s="1"/>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s="1"/>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L4213" i="2" s="1"/>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L4228" i="2" s="1"/>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L4256" i="2" s="1"/>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G4260" i="2"/>
  <c r="AH4260" i="2"/>
  <c r="AI4260" i="2"/>
  <c r="AJ4260" i="2"/>
  <c r="AL4260" i="2" s="1"/>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L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L4280" i="2" s="1"/>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G4295" i="2"/>
  <c r="AH4295" i="2"/>
  <c r="AL4295" i="2" s="1"/>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L4311" i="2" s="1"/>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c r="AH4318" i="2"/>
  <c r="AI4318" i="2"/>
  <c r="AJ4318" i="2"/>
  <c r="AF4319" i="2"/>
  <c r="AK4319" i="2" s="1"/>
  <c r="AL4319" i="2" s="1"/>
  <c r="AG4319" i="2"/>
  <c r="AH4319" i="2"/>
  <c r="AI4319" i="2"/>
  <c r="AJ4319" i="2"/>
  <c r="AF4320" i="2"/>
  <c r="AK4320" i="2" s="1"/>
  <c r="AG4320" i="2"/>
  <c r="AL4320" i="2"/>
  <c r="AH4320" i="2"/>
  <c r="AI4320" i="2"/>
  <c r="AJ4320" i="2"/>
  <c r="AF4321" i="2"/>
  <c r="AK4321" i="2" s="1"/>
  <c r="AL4321" i="2" s="1"/>
  <c r="AG4321" i="2"/>
  <c r="AH4321" i="2"/>
  <c r="AI4321" i="2"/>
  <c r="AJ4321" i="2"/>
  <c r="AF4322" i="2"/>
  <c r="AK4322" i="2"/>
  <c r="AG4322" i="2"/>
  <c r="AL4322" i="2" s="1"/>
  <c r="AH4322" i="2"/>
  <c r="AI4322" i="2"/>
  <c r="AJ4322" i="2"/>
  <c r="AF4323" i="2"/>
  <c r="AK4323" i="2" s="1"/>
  <c r="AG4323" i="2"/>
  <c r="AH4323" i="2"/>
  <c r="AI4323" i="2"/>
  <c r="AL4323" i="2" s="1"/>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L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L4380" i="2" s="1"/>
  <c r="AJ4380" i="2"/>
  <c r="AF4381" i="2"/>
  <c r="AK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s="1"/>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L4426" i="2" s="1"/>
  <c r="AG4426" i="2"/>
  <c r="AH4426" i="2"/>
  <c r="AI4426" i="2"/>
  <c r="AJ4426" i="2"/>
  <c r="AF4427" i="2"/>
  <c r="AK4427" i="2" s="1"/>
  <c r="AL4427" i="2" s="1"/>
  <c r="AG4427" i="2"/>
  <c r="AH4427" i="2"/>
  <c r="AI4427" i="2"/>
  <c r="AJ4427" i="2"/>
  <c r="AF4428" i="2"/>
  <c r="AK4428" i="2"/>
  <c r="AG4428" i="2"/>
  <c r="AH4428" i="2"/>
  <c r="AI4428" i="2"/>
  <c r="AJ4428" i="2"/>
  <c r="AF4429" i="2"/>
  <c r="AK4429" i="2" s="1"/>
  <c r="AL4429" i="2" s="1"/>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L4483" i="2" s="1"/>
  <c r="AJ4483" i="2"/>
  <c r="AF4484" i="2"/>
  <c r="AK4484" i="2" s="1"/>
  <c r="AG4484" i="2"/>
  <c r="AL4484" i="2" s="1"/>
  <c r="AH4484" i="2"/>
  <c r="AI4484" i="2"/>
  <c r="AJ4484" i="2"/>
  <c r="AF4485" i="2"/>
  <c r="AK4485" i="2" s="1"/>
  <c r="AL4485" i="2" s="1"/>
  <c r="AG4485" i="2"/>
  <c r="AH4485" i="2"/>
  <c r="AI4485" i="2"/>
  <c r="AJ4485" i="2"/>
  <c r="AF4486" i="2"/>
  <c r="AK4486" i="2"/>
  <c r="AG4486" i="2"/>
  <c r="AH4486" i="2"/>
  <c r="AI4486" i="2"/>
  <c r="AJ4486" i="2"/>
  <c r="AF4487" i="2"/>
  <c r="AK4487" i="2" s="1"/>
  <c r="AL4487" i="2" s="1"/>
  <c r="AG4487" i="2"/>
  <c r="AH4487" i="2"/>
  <c r="AI4487" i="2"/>
  <c r="AJ4487" i="2"/>
  <c r="AF4488" i="2"/>
  <c r="AK4488" i="2"/>
  <c r="AG4488" i="2"/>
  <c r="AH4488" i="2"/>
  <c r="AI4488" i="2"/>
  <c r="AL4488" i="2" s="1"/>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s="1"/>
  <c r="AL4493" i="2" s="1"/>
  <c r="AG4493" i="2"/>
  <c r="AH4493" i="2"/>
  <c r="AI4493" i="2"/>
  <c r="AJ4493" i="2"/>
  <c r="AF4494" i="2"/>
  <c r="AK4494" i="2"/>
  <c r="AG4494" i="2"/>
  <c r="AH4494" i="2"/>
  <c r="AI4494" i="2"/>
  <c r="AJ4494" i="2"/>
  <c r="AF4495" i="2"/>
  <c r="AK4495" i="2" s="1"/>
  <c r="AL4495" i="2" s="1"/>
  <c r="AG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H4502" i="2"/>
  <c r="AI4502" i="2"/>
  <c r="AJ4502" i="2"/>
  <c r="AL4502" i="2" s="1"/>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G4510" i="2"/>
  <c r="AL4510" i="2" s="1"/>
  <c r="AH4510" i="2"/>
  <c r="AI4510" i="2"/>
  <c r="AJ4510" i="2"/>
  <c r="AF4511" i="2"/>
  <c r="AK4511" i="2" s="1"/>
  <c r="AG4511" i="2"/>
  <c r="AH4511" i="2"/>
  <c r="AI4511" i="2"/>
  <c r="AJ4511" i="2"/>
  <c r="AF4512" i="2"/>
  <c r="AK4512" i="2" s="1"/>
  <c r="AL4512" i="2" s="1"/>
  <c r="AG4512" i="2"/>
  <c r="AH4512" i="2"/>
  <c r="AI4512" i="2"/>
  <c r="AJ4512" i="2"/>
  <c r="AF4513" i="2"/>
  <c r="AK4513" i="2" s="1"/>
  <c r="AG4513" i="2"/>
  <c r="AH4513" i="2"/>
  <c r="AI4513" i="2"/>
  <c r="AJ4513" i="2"/>
  <c r="AL4513" i="2" s="1"/>
  <c r="AF4514" i="2"/>
  <c r="AK4514" i="2" s="1"/>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s="1"/>
  <c r="AG4527" i="2"/>
  <c r="AH4527" i="2"/>
  <c r="AI4527" i="2"/>
  <c r="AL4527" i="2" s="1"/>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s="1"/>
  <c r="AF4531" i="2"/>
  <c r="AK4531" i="2" s="1"/>
  <c r="AG4531" i="2"/>
  <c r="AH4531" i="2"/>
  <c r="AI4531" i="2"/>
  <c r="AJ4531" i="2"/>
  <c r="AL4531" i="2"/>
  <c r="AF4532" i="2"/>
  <c r="AK4532" i="2" s="1"/>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s="1"/>
  <c r="AL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s="1"/>
  <c r="AL4558" i="2" s="1"/>
  <c r="AG4558" i="2"/>
  <c r="AH4558" i="2"/>
  <c r="AI4558" i="2"/>
  <c r="AJ4558" i="2"/>
  <c r="AF4559" i="2"/>
  <c r="AK4559" i="2"/>
  <c r="AG4559" i="2"/>
  <c r="AH4559" i="2"/>
  <c r="AI4559" i="2"/>
  <c r="AL4559" i="2" s="1"/>
  <c r="AJ4559" i="2"/>
  <c r="AF4560" i="2"/>
  <c r="AK4560" i="2" s="1"/>
  <c r="AG4560" i="2"/>
  <c r="AH4560" i="2"/>
  <c r="AI4560" i="2"/>
  <c r="AJ4560" i="2"/>
  <c r="AL4560" i="2" s="1"/>
  <c r="AF4561" i="2"/>
  <c r="AK4561" i="2" s="1"/>
  <c r="AL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L4568" i="2" s="1"/>
  <c r="AJ4568" i="2"/>
  <c r="AF4569" i="2"/>
  <c r="AK4569" i="2" s="1"/>
  <c r="AG4569" i="2"/>
  <c r="AL4569" i="2" s="1"/>
  <c r="AH4569" i="2"/>
  <c r="AI4569" i="2"/>
  <c r="AJ4569" i="2"/>
  <c r="AF4570" i="2"/>
  <c r="AK4570" i="2" s="1"/>
  <c r="AL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L4581" i="2" s="1"/>
  <c r="AG4581" i="2"/>
  <c r="AH4581" i="2"/>
  <c r="AI4581" i="2"/>
  <c r="AJ4581" i="2"/>
  <c r="AF4582" i="2"/>
  <c r="AK4582" i="2"/>
  <c r="AG4582" i="2"/>
  <c r="AH4582" i="2"/>
  <c r="AI4582" i="2"/>
  <c r="AJ4582" i="2"/>
  <c r="AF4583" i="2"/>
  <c r="AK4583" i="2" s="1"/>
  <c r="AL4583" i="2" s="1"/>
  <c r="AG4583" i="2"/>
  <c r="AH4583" i="2"/>
  <c r="AI4583" i="2"/>
  <c r="AJ4583" i="2"/>
  <c r="AF4584" i="2"/>
  <c r="AK4584" i="2"/>
  <c r="AG4584" i="2"/>
  <c r="AL4584" i="2" s="1"/>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L4594" i="2" s="1"/>
  <c r="AG4594" i="2"/>
  <c r="AH4594" i="2"/>
  <c r="AI4594" i="2"/>
  <c r="AJ4594" i="2"/>
  <c r="AF4595" i="2"/>
  <c r="AK4595" i="2" s="1"/>
  <c r="AG4595" i="2"/>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s="1"/>
  <c r="AL4599" i="2" s="1"/>
  <c r="AG4599" i="2"/>
  <c r="AH4599" i="2"/>
  <c r="AI4599" i="2"/>
  <c r="AJ4599" i="2"/>
  <c r="AF4600" i="2"/>
  <c r="AK4600" i="2"/>
  <c r="AG4600" i="2"/>
  <c r="AH4600" i="2"/>
  <c r="AI4600" i="2"/>
  <c r="AL4600" i="2" s="1"/>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c r="AG4614" i="2"/>
  <c r="AH4614" i="2"/>
  <c r="AI4614" i="2"/>
  <c r="AJ4614" i="2"/>
  <c r="AF4615" i="2"/>
  <c r="AK4615" i="2" s="1"/>
  <c r="AL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L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L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L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L4692" i="2" s="1"/>
  <c r="AI4692" i="2"/>
  <c r="AJ4692" i="2"/>
  <c r="AF4693" i="2"/>
  <c r="AG4693" i="2"/>
  <c r="AL4693" i="2" s="1"/>
  <c r="AH4693" i="2"/>
  <c r="AI4693" i="2"/>
  <c r="AJ4693" i="2"/>
  <c r="AK4693" i="2"/>
  <c r="AF4694" i="2"/>
  <c r="AK4694" i="2"/>
  <c r="AG4694" i="2"/>
  <c r="AL4694" i="2" s="1"/>
  <c r="AH4694" i="2"/>
  <c r="AI4694" i="2"/>
  <c r="AJ4694" i="2"/>
  <c r="AF4695" i="2"/>
  <c r="AK4695" i="2"/>
  <c r="AG4695" i="2"/>
  <c r="AL4695" i="2" s="1"/>
  <c r="AH4695" i="2"/>
  <c r="AI4695" i="2"/>
  <c r="AJ4695" i="2"/>
  <c r="AF4696" i="2"/>
  <c r="AK4696" i="2" s="1"/>
  <c r="AG4696" i="2"/>
  <c r="AH4696" i="2"/>
  <c r="AL4696" i="2" s="1"/>
  <c r="AI4696" i="2"/>
  <c r="AJ4696" i="2"/>
  <c r="AF4697" i="2"/>
  <c r="AK4697" i="2"/>
  <c r="AG4697" i="2"/>
  <c r="AH4697" i="2"/>
  <c r="AI4697" i="2"/>
  <c r="AJ4697" i="2"/>
  <c r="AF4698" i="2"/>
  <c r="AK4698" i="2"/>
  <c r="AG4698" i="2"/>
  <c r="AH4698" i="2"/>
  <c r="AI4698" i="2"/>
  <c r="AJ4698" i="2"/>
  <c r="AF4699" i="2"/>
  <c r="AK4699" i="2"/>
  <c r="AG4699" i="2"/>
  <c r="AH4699" i="2"/>
  <c r="AI4699" i="2"/>
  <c r="AL4699" i="2" s="1"/>
  <c r="AJ4699" i="2"/>
  <c r="AF4700" i="2"/>
  <c r="AK4700" i="2"/>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L4709" i="2" s="1"/>
  <c r="AI4709" i="2"/>
  <c r="AJ4709" i="2"/>
  <c r="AF4710" i="2"/>
  <c r="AK4710" i="2"/>
  <c r="AG4710" i="2"/>
  <c r="AL4710" i="2" s="1"/>
  <c r="AH4710" i="2"/>
  <c r="AI4710" i="2"/>
  <c r="AJ4710" i="2"/>
  <c r="AF4711" i="2"/>
  <c r="AG4711" i="2"/>
  <c r="AH4711" i="2"/>
  <c r="AI4711" i="2"/>
  <c r="AJ4711" i="2"/>
  <c r="AK4711" i="2"/>
  <c r="AF4712" i="2"/>
  <c r="AK4712" i="2"/>
  <c r="AG4712" i="2"/>
  <c r="AH4712" i="2"/>
  <c r="AL4712" i="2" s="1"/>
  <c r="AI4712" i="2"/>
  <c r="AJ4712" i="2"/>
  <c r="AF4713" i="2"/>
  <c r="AK4713" i="2"/>
  <c r="AG4713" i="2"/>
  <c r="AL4713" i="2" s="1"/>
  <c r="AH4713" i="2"/>
  <c r="AI4713" i="2"/>
  <c r="AJ4713" i="2"/>
  <c r="AF4714" i="2"/>
  <c r="AK4714" i="2"/>
  <c r="AG4714" i="2"/>
  <c r="AL4714" i="2" s="1"/>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L4730" i="2" s="1"/>
  <c r="AG4730" i="2"/>
  <c r="AH4730" i="2"/>
  <c r="AI4730" i="2"/>
  <c r="AJ4730" i="2"/>
  <c r="AF4731" i="2"/>
  <c r="AK4731" i="2"/>
  <c r="AG4731" i="2"/>
  <c r="AH4731" i="2"/>
  <c r="AI4731" i="2"/>
  <c r="AJ4731" i="2"/>
  <c r="AL4731" i="2" s="1"/>
  <c r="AF4732" i="2"/>
  <c r="AK4732" i="2"/>
  <c r="AG4732" i="2"/>
  <c r="AL4732" i="2" s="1"/>
  <c r="AH4732" i="2"/>
  <c r="AI4732" i="2"/>
  <c r="AJ4732" i="2"/>
  <c r="AF4733" i="2"/>
  <c r="AK4733" i="2" s="1"/>
  <c r="AL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L4738" i="2" s="1"/>
  <c r="AG4738" i="2"/>
  <c r="AH4738" i="2"/>
  <c r="AI4738" i="2"/>
  <c r="AJ4738" i="2"/>
  <c r="AF4739" i="2"/>
  <c r="AK4739" i="2"/>
  <c r="AG4739" i="2"/>
  <c r="AL4739" i="2" s="1"/>
  <c r="AH4739" i="2"/>
  <c r="AI4739" i="2"/>
  <c r="AJ4739" i="2"/>
  <c r="AF4740" i="2"/>
  <c r="AK4740" i="2"/>
  <c r="AG4740" i="2"/>
  <c r="AL4740" i="2"/>
  <c r="AH4740" i="2"/>
  <c r="AI4740" i="2"/>
  <c r="AJ4740" i="2"/>
  <c r="AF4741" i="2"/>
  <c r="AK4741" i="2" s="1"/>
  <c r="AG4741" i="2"/>
  <c r="AH4741" i="2"/>
  <c r="AL4741" i="2" s="1"/>
  <c r="AI4741" i="2"/>
  <c r="AJ4741" i="2"/>
  <c r="AF4742" i="2"/>
  <c r="AK4742" i="2"/>
  <c r="AG4742" i="2"/>
  <c r="AH4742" i="2"/>
  <c r="AL4742" i="2" s="1"/>
  <c r="AI4742" i="2"/>
  <c r="AJ4742" i="2"/>
  <c r="AF4743" i="2"/>
  <c r="AK4743" i="2"/>
  <c r="AG4743" i="2"/>
  <c r="AH4743" i="2"/>
  <c r="AI4743" i="2"/>
  <c r="AJ4743" i="2"/>
  <c r="AL4743" i="2"/>
  <c r="AF4744" i="2"/>
  <c r="AK4744" i="2"/>
  <c r="AG4744" i="2"/>
  <c r="AL4744" i="2" s="1"/>
  <c r="AH4744" i="2"/>
  <c r="AI4744" i="2"/>
  <c r="AJ4744" i="2"/>
  <c r="AF4745" i="2"/>
  <c r="AK4745" i="2" s="1"/>
  <c r="AG4745" i="2"/>
  <c r="AL4745" i="2" s="1"/>
  <c r="AH4745" i="2"/>
  <c r="AI4745" i="2"/>
  <c r="AJ4745" i="2"/>
  <c r="AF4746" i="2"/>
  <c r="AK4746" i="2"/>
  <c r="AG4746" i="2"/>
  <c r="AL4746" i="2" s="1"/>
  <c r="AH4746" i="2"/>
  <c r="AI4746" i="2"/>
  <c r="AJ4746" i="2"/>
  <c r="AF4747" i="2"/>
  <c r="AK4747" i="2"/>
  <c r="AG4747" i="2"/>
  <c r="AH4747" i="2"/>
  <c r="AI4747" i="2"/>
  <c r="AJ4747" i="2"/>
  <c r="AL4747" i="2" s="1"/>
  <c r="AF4748" i="2"/>
  <c r="AK4748" i="2"/>
  <c r="AG4748" i="2"/>
  <c r="AH4748" i="2"/>
  <c r="AI4748" i="2"/>
  <c r="AJ4748" i="2"/>
  <c r="AF4749" i="2"/>
  <c r="AK4749" i="2"/>
  <c r="AG4749" i="2"/>
  <c r="AH4749" i="2"/>
  <c r="AL4749" i="2" s="1"/>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s="1"/>
  <c r="AG4753" i="2"/>
  <c r="AH4753" i="2"/>
  <c r="AI4753" i="2"/>
  <c r="AJ4753" i="2"/>
  <c r="AF4754" i="2"/>
  <c r="AK4754" i="2"/>
  <c r="AG4754" i="2"/>
  <c r="AH4754" i="2"/>
  <c r="AL4754" i="2" s="1"/>
  <c r="AI4754" i="2"/>
  <c r="AJ4754" i="2"/>
  <c r="AF4755" i="2"/>
  <c r="AK4755" i="2"/>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L4769" i="2" s="1"/>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L4783" i="2" s="1"/>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L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L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L4880" i="2" s="1"/>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s="1"/>
  <c r="AG4897" i="2"/>
  <c r="AH4897" i="2"/>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I4915" i="2"/>
  <c r="AL4915" i="2" s="1"/>
  <c r="AJ4915" i="2"/>
  <c r="AF4916" i="2"/>
  <c r="AK4916" i="2"/>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L4922" i="2" s="1"/>
  <c r="AI4922" i="2"/>
  <c r="AJ4922" i="2"/>
  <c r="AF4923" i="2"/>
  <c r="AK4923" i="2"/>
  <c r="AG4923" i="2"/>
  <c r="AH4923" i="2"/>
  <c r="AI4923" i="2"/>
  <c r="AJ4923" i="2"/>
  <c r="AF4924" i="2"/>
  <c r="AK4924" i="2"/>
  <c r="AG4924" i="2"/>
  <c r="AL4924" i="2" s="1"/>
  <c r="AH4924" i="2"/>
  <c r="AI4924" i="2"/>
  <c r="AJ4924" i="2"/>
  <c r="AF4925" i="2"/>
  <c r="AK4925" i="2" s="1"/>
  <c r="AL4925" i="2" s="1"/>
  <c r="AG4925" i="2"/>
  <c r="AH4925" i="2"/>
  <c r="AI4925" i="2"/>
  <c r="AJ4925" i="2"/>
  <c r="AF4926" i="2"/>
  <c r="AK4926" i="2"/>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L4930" i="2" s="1"/>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L4940" i="2" s="1"/>
  <c r="AJ4940" i="2"/>
  <c r="AF4941" i="2"/>
  <c r="AK4941" i="2"/>
  <c r="AG4941" i="2"/>
  <c r="AL4941" i="2" s="1"/>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H4946" i="2"/>
  <c r="AL4946" i="2" s="1"/>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L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L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23" i="2"/>
  <c r="AM23" i="2" s="1"/>
  <c r="AL89" i="2"/>
  <c r="AL81" i="2"/>
  <c r="AL73" i="2"/>
  <c r="AL65" i="2"/>
  <c r="AL57" i="2"/>
  <c r="AL49" i="2"/>
  <c r="AL33" i="2"/>
  <c r="AM33" i="2" s="1"/>
  <c r="AL75" i="2"/>
  <c r="AL67" i="2"/>
  <c r="AL59" i="2"/>
  <c r="AL51" i="2"/>
  <c r="AL27" i="2"/>
  <c r="AM27" i="2" s="1"/>
  <c r="AL16" i="2"/>
  <c r="AM16" i="2" s="1"/>
  <c r="AL14" i="2"/>
  <c r="AM14" i="2" s="1"/>
  <c r="AL4796" i="2"/>
  <c r="AL4551" i="2"/>
  <c r="AL4563" i="2"/>
  <c r="AL4541" i="2"/>
  <c r="AL4665" i="2"/>
  <c r="AL4553" i="2"/>
  <c r="AL4329" i="2"/>
  <c r="AL4268" i="2"/>
  <c r="AL4200" i="2"/>
  <c r="AL4149" i="2"/>
  <c r="AL4136" i="2"/>
  <c r="AL4092" i="2"/>
  <c r="AL4085" i="2"/>
  <c r="AL4062" i="2"/>
  <c r="AL4395" i="2"/>
  <c r="AL4387" i="2"/>
  <c r="AL4337" i="2"/>
  <c r="AL4333" i="2"/>
  <c r="AL4368" i="2"/>
  <c r="AL4341" i="2"/>
  <c r="AL4331"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829" i="2"/>
  <c r="AL4720" i="2"/>
  <c r="AL4818" i="2"/>
  <c r="AL4697" i="2"/>
  <c r="AL4447"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M24" i="2" s="1"/>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489" i="2"/>
  <c r="AL4324" i="2"/>
  <c r="AL4278" i="2"/>
  <c r="AL4225" i="2"/>
  <c r="AL4141" i="2"/>
  <c r="AL4966" i="2"/>
  <c r="AL4900" i="2"/>
  <c r="AL4816" i="2"/>
  <c r="AL4813" i="2"/>
  <c r="AL4459" i="2"/>
  <c r="AL4433" i="2"/>
  <c r="AL4303" i="2"/>
  <c r="AL3843" i="2"/>
  <c r="AL4528" i="2"/>
  <c r="AL4466" i="2"/>
  <c r="AL4949" i="2"/>
  <c r="AL4756" i="2"/>
  <c r="AL4734" i="2"/>
  <c r="AL4724" i="2"/>
  <c r="AL4644" i="2"/>
  <c r="AL4494" i="2"/>
  <c r="AL4478" i="2"/>
  <c r="AL4454" i="2"/>
  <c r="AL4431" i="2"/>
  <c r="AL4345" i="2"/>
  <c r="AL4338" i="2"/>
  <c r="AL4007" i="2"/>
  <c r="AL3986" i="2"/>
  <c r="AL4804" i="2"/>
  <c r="AL4981" i="2"/>
  <c r="AL4938" i="2"/>
  <c r="AL4877" i="2"/>
  <c r="AL4798" i="2"/>
  <c r="AL4736" i="2"/>
  <c r="AL4633" i="2"/>
  <c r="AL4549" i="2"/>
  <c r="AL4461" i="2"/>
  <c r="AL4439"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398" i="2"/>
  <c r="AL4388" i="2"/>
  <c r="AL4716" i="2"/>
  <c r="AL4601" i="2"/>
  <c r="AL4396" i="2"/>
  <c r="AL4952" i="2"/>
  <c r="AL4807" i="2"/>
  <c r="AL4668" i="2"/>
  <c r="AL4591" i="2"/>
  <c r="AL4332" i="2"/>
  <c r="AL4910" i="2"/>
  <c r="AL4750" i="2"/>
  <c r="AL4636" i="2"/>
  <c r="AL4617" i="2"/>
  <c r="AL4518" i="2"/>
  <c r="AL4979" i="2"/>
  <c r="AL4837" i="2"/>
  <c r="AL4835" i="2"/>
  <c r="AL4706" i="2"/>
  <c r="AL4629" i="2"/>
  <c r="AL4453" i="2"/>
  <c r="AL4334" i="2"/>
  <c r="AL4233" i="2"/>
  <c r="AL4931" i="2"/>
  <c r="AL4802" i="2"/>
  <c r="AL4688" i="2"/>
  <c r="AL4516"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L6" i="2"/>
  <c r="AM6" i="2" s="1"/>
  <c r="AL9" i="2"/>
  <c r="AM9" i="2" s="1"/>
  <c r="AL4955" i="2"/>
  <c r="AL4936" i="2"/>
  <c r="AL4914" i="2"/>
  <c r="AL4797" i="2"/>
  <c r="AL4649" i="2"/>
  <c r="AL4597" i="2"/>
  <c r="AL4858" i="2"/>
  <c r="AL4704" i="2"/>
  <c r="AL4664" i="2"/>
  <c r="AL4973" i="2"/>
  <c r="AL4853" i="2"/>
  <c r="AL4785" i="2"/>
  <c r="AL4698" i="2"/>
  <c r="AL4892" i="2"/>
  <c r="AL4850" i="2"/>
  <c r="AL4964" i="2"/>
  <c r="AL4545" i="2"/>
  <c r="AL4385" i="2"/>
  <c r="AL4298" i="2"/>
  <c r="AL4143" i="2"/>
  <c r="AL4083" i="2"/>
  <c r="AL4035" i="2"/>
  <c r="AL3999" i="2"/>
  <c r="AL3979" i="2"/>
  <c r="AL3969" i="2"/>
  <c r="AL3798" i="2"/>
  <c r="AL3744" i="2"/>
  <c r="AL3546" i="2"/>
  <c r="AL3523" i="2"/>
  <c r="AL4366"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677" i="2"/>
  <c r="AL4992" i="2"/>
  <c r="AL4989" i="2"/>
  <c r="AL4929" i="2"/>
  <c r="AL4916" i="2"/>
  <c r="AL4856" i="2"/>
  <c r="AL4840" i="2"/>
  <c r="AL4779" i="2"/>
  <c r="AL4771" i="2"/>
  <c r="AL4719" i="2"/>
  <c r="AL4537" i="2"/>
  <c r="AL4948" i="2"/>
  <c r="AL4926" i="2"/>
  <c r="AL4906" i="2"/>
  <c r="AL4903" i="2"/>
  <c r="AL4896" i="2"/>
  <c r="AL4874" i="2"/>
  <c r="AL4871" i="2"/>
  <c r="AL4860" i="2"/>
  <c r="AL4817" i="2"/>
  <c r="AL4799" i="2"/>
  <c r="AL4772" i="2"/>
  <c r="AL4647" i="2"/>
  <c r="AL4588" i="2"/>
  <c r="AL4582" i="2"/>
  <c r="AL4961" i="2"/>
  <c r="AL4944" i="2"/>
  <c r="AL4937" i="2"/>
  <c r="AL4923" i="2"/>
  <c r="AL4913" i="2"/>
  <c r="AL4843" i="2"/>
  <c r="AL4825" i="2"/>
  <c r="AL4806" i="2"/>
  <c r="AL4758" i="2"/>
  <c r="AL4723" i="2"/>
  <c r="AL4675" i="2"/>
  <c r="AL4604" i="2"/>
  <c r="AL4969" i="2"/>
  <c r="AL4959" i="2"/>
  <c r="AL4911" i="2"/>
  <c r="AL4894" i="2"/>
  <c r="AL4980" i="2"/>
  <c r="AL4956" i="2"/>
  <c r="AL4904" i="2"/>
  <c r="AL4794" i="2"/>
  <c r="AL4686" i="2"/>
  <c r="AL4656" i="2"/>
  <c r="AL4580" i="2"/>
  <c r="AL4574" i="2"/>
  <c r="AL4522" i="2"/>
  <c r="AL4449" i="2"/>
  <c r="AL4935" i="2"/>
  <c r="AL4921" i="2"/>
  <c r="AL4905" i="2"/>
  <c r="AL4879" i="2"/>
  <c r="AL4819" i="2"/>
  <c r="AL4770" i="2"/>
  <c r="AL4645" i="2"/>
  <c r="AL4623" i="2"/>
  <c r="AL4619" i="2"/>
  <c r="AL4586" i="2"/>
  <c r="AL4555" i="2"/>
  <c r="AL4650" i="2"/>
  <c r="AL4576" i="2"/>
  <c r="AL4572" i="2"/>
  <c r="AL4554" i="2"/>
  <c r="AL4412" i="2"/>
  <c r="AL4404" i="2"/>
  <c r="AL4254" i="2"/>
  <c r="AL4632" i="2"/>
  <c r="AL4543" i="2"/>
  <c r="AL4526" i="2"/>
  <c r="AL4370" i="2"/>
  <c r="AL4671" i="2"/>
  <c r="AL4565" i="2"/>
  <c r="AL4500" i="2"/>
  <c r="AL4446" i="2"/>
  <c r="AL4419" i="2"/>
  <c r="AL4382" i="2"/>
  <c r="AL4362" i="2"/>
  <c r="AL4236" i="2"/>
  <c r="AL4125" i="2"/>
  <c r="AL4643" i="2"/>
  <c r="AL4413" i="2"/>
  <c r="AL4288" i="2"/>
  <c r="AL4614" i="2"/>
  <c r="AL4566" i="2"/>
  <c r="AL4504" i="2"/>
  <c r="AL4240" i="2"/>
  <c r="AL4679" i="2"/>
  <c r="AL4592" i="2"/>
  <c r="AL4100" i="2"/>
  <c r="AL4486" i="2"/>
  <c r="AL4479" i="2"/>
  <c r="AL4440"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0" i="2" l="1"/>
  <c r="AM10" i="2" s="1"/>
  <c r="AL32" i="2"/>
  <c r="AL38" i="2"/>
  <c r="AM38" i="2" s="1"/>
  <c r="AL22" i="2"/>
  <c r="AM22" i="2" s="1"/>
  <c r="AL42" i="2"/>
  <c r="AL26" i="2"/>
  <c r="AM26" i="2" s="1"/>
  <c r="AL8" i="2"/>
  <c r="AM8" i="2" s="1"/>
  <c r="AL18" i="2"/>
  <c r="AM18" i="2" s="1"/>
  <c r="AL4477" i="2"/>
  <c r="AL4968" i="2"/>
  <c r="AL4886" i="2"/>
  <c r="AL4866" i="2"/>
  <c r="AL4859" i="2"/>
  <c r="AL4826" i="2"/>
  <c r="AL4753" i="2"/>
  <c r="AL4702" i="2"/>
  <c r="AL4672" i="2"/>
  <c r="AL4564" i="2"/>
  <c r="AL4542" i="2"/>
  <c r="AL4405" i="2"/>
  <c r="AL4965" i="2"/>
  <c r="AL4945" i="2"/>
  <c r="AL4897" i="2"/>
  <c r="AL4838" i="2"/>
  <c r="AL4833" i="2"/>
  <c r="AL4795" i="2"/>
  <c r="AL4726" i="2"/>
  <c r="AL4718" i="2"/>
  <c r="AL4680" i="2"/>
  <c r="AL4511" i="2"/>
  <c r="AL4420" i="2"/>
  <c r="AL4492" i="2"/>
  <c r="AL4490" i="2"/>
  <c r="AL4473" i="2"/>
  <c r="AL4448" i="2"/>
  <c r="AL4444" i="2"/>
  <c r="AL4376" i="2"/>
  <c r="AL4259" i="2"/>
  <c r="AL4250" i="2"/>
  <c r="AL4199" i="2"/>
  <c r="AL3953" i="2"/>
  <c r="AL3925" i="2"/>
  <c r="AL3774" i="2"/>
  <c r="AL3751" i="2"/>
  <c r="AL3741" i="2"/>
  <c r="AL3630" i="2"/>
  <c r="AL3579" i="2"/>
  <c r="AL4613" i="2"/>
  <c r="AL4595" i="2"/>
  <c r="AL4567" i="2"/>
  <c r="AL4539" i="2"/>
  <c r="AL4505" i="2"/>
  <c r="AL4480" i="2"/>
  <c r="AL4403" i="2"/>
  <c r="AL4360" i="2"/>
  <c r="AL4194" i="2"/>
  <c r="AL4190" i="2"/>
  <c r="AL3928" i="2"/>
  <c r="AL3832" i="2"/>
  <c r="AL3827" i="2"/>
  <c r="AL4544" i="2"/>
  <c r="AL4535" i="2"/>
  <c r="AL4508" i="2"/>
  <c r="AL4474" i="2"/>
  <c r="AL4296" i="2"/>
  <c r="AL4271" i="2"/>
  <c r="AL4258" i="2"/>
  <c r="AL4186" i="2"/>
  <c r="AL4116" i="2"/>
  <c r="AL3885" i="2"/>
  <c r="AL3810" i="2"/>
  <c r="AL3757" i="2"/>
  <c r="AL3710" i="2"/>
  <c r="AL4602" i="2"/>
  <c r="AL4598" i="2"/>
  <c r="AL4562" i="2"/>
  <c r="AL4430" i="2"/>
  <c r="AL4409" i="2"/>
  <c r="AL4407" i="2"/>
  <c r="AL4204" i="2"/>
  <c r="AL4182" i="2"/>
  <c r="AL4129" i="2"/>
  <c r="AL4111" i="2"/>
  <c r="AL3956" i="2"/>
  <c r="AL3950" i="2"/>
  <c r="AL3611" i="2"/>
  <c r="AL3515" i="2"/>
  <c r="AL3494" i="2"/>
  <c r="AL3440" i="2"/>
  <c r="AL3467" i="2"/>
  <c r="AL3320" i="2"/>
  <c r="AL3306" i="2"/>
  <c r="AL3272" i="2"/>
  <c r="AL3439" i="2"/>
  <c r="AL3415" i="2"/>
  <c r="AL3382" i="2"/>
  <c r="AL3310" i="2"/>
  <c r="AL3302" i="2"/>
  <c r="AL3289" i="2"/>
  <c r="AL3285" i="2"/>
  <c r="AL3300" i="2"/>
  <c r="AL2851" i="2"/>
  <c r="AL2835" i="2"/>
  <c r="AL2751" i="2"/>
  <c r="AL2690" i="2"/>
  <c r="AL2364" i="2"/>
  <c r="AL2224" i="2"/>
  <c r="AL2199" i="2"/>
  <c r="AL3307" i="2"/>
  <c r="AL3255" i="2"/>
  <c r="AL3253" i="2"/>
  <c r="AL3221" i="2"/>
  <c r="AL3138" i="2"/>
  <c r="AL2939" i="2"/>
  <c r="AL2653" i="2"/>
  <c r="AL2641" i="2"/>
  <c r="AL2571" i="2"/>
  <c r="AL2545" i="2"/>
  <c r="AL2542" i="2"/>
  <c r="AL2448" i="2"/>
  <c r="AL2430" i="2"/>
  <c r="AL2416" i="2"/>
  <c r="AL2398" i="2"/>
  <c r="AL2366" i="2"/>
  <c r="AL3378" i="2"/>
  <c r="AL3353" i="2"/>
  <c r="AL3328" i="2"/>
  <c r="AL3212" i="2"/>
  <c r="AL2968" i="2"/>
  <c r="AL2767" i="2"/>
  <c r="AL2759" i="2"/>
  <c r="AL2630" i="2"/>
  <c r="AL2606" i="2"/>
  <c r="AL2557" i="2"/>
  <c r="AL2482" i="2"/>
  <c r="AL2473" i="2"/>
  <c r="AL2390" i="2"/>
  <c r="AL2216" i="2"/>
  <c r="AL2124" i="2"/>
  <c r="AL2066" i="2"/>
  <c r="AL2006" i="2"/>
  <c r="AL1633" i="2"/>
  <c r="AL1544" i="2"/>
  <c r="AL1411" i="2"/>
  <c r="AL1183" i="2"/>
  <c r="AL967" i="2"/>
  <c r="AL925" i="2"/>
  <c r="AL998" i="2"/>
  <c r="AL950" i="2"/>
  <c r="AL947" i="2"/>
  <c r="AL179" i="2"/>
  <c r="AL5057"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rgb="FF000000"/>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<sst xmlns="http://schemas.openxmlformats.org/spreadsheetml/2006/main" count="771" uniqueCount="209">
  <si>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</si>
  <si>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</si>
  <si>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</si>
  <si>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</si>
  <si>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</si>
  <si>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</si>
  <si>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</si>
  <si>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</si>
  <si>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</si>
  <si>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</si>
  <si>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</si>
  <si>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</si>
  <si>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</si>
  <si>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</si>
  <si>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</si>
  <si>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</si>
  <si>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</si>
  <si>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</si>
  <si>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</si>
  <si>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</si>
  <si>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</si>
  <si>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</si>
  <si>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</si>
  <si>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</si>
  <si>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</si>
  <si>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</si>
  <si>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</si>
  <si>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</si>
  <si>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</si>
  <si>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</si>
  <si>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</si>
  <si>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</si>
  <si>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</si>
  <si>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</si>
  <si>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</si>
  <si>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</si>
  <si>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</si>
  <si>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</si>
  <si>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</si>
  <si>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</si>
  <si>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</si>
  <si>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</si>
  <si>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</si>
  <si>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</si>
  <si>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</si>
  <si>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</si>
  <si>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</si>
  <si>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</si>
  <si>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</si>
  <si>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</si>
  <si>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</si>
  <si>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</si>
  <si>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</si>
  <si>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</si>
  <si>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</si>
  <si>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</si>
  <si>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</si>
  <si>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</si>
  <si>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</si>
  <si>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</si>
  <si>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</si>
  <si>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</si>
  <si>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</si>
  <si>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</si>
  <si>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</si>
  <si>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</si>
  <si>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</si>
  <si>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</si>
  <si>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</si>
  <si>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</si>
  <si>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</si>
  <si>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</si>
  <si>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</si>
  <si>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</si>
  <si>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</si>
  <si>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</si>
  <si>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</si>
  <si>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</si>
  <si>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</si>
  <si>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</si>
  <si>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</si>
  <si>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</si>
  <si>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</si>
  <si>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</si>
  <si>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</si>
  <si>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</si>
  <si>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</si>
  <si>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</si>
  <si>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</si>
  <si>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</si>
  <si>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</si>
  <si>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</si>
  <si>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</si>
  <si>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Chicago Creek</t>
  </si>
  <si>
    <t>Highway 16</t>
  </si>
  <si>
    <t>MOTI</t>
  </si>
  <si>
    <t>Closed Bottom Structure</t>
  </si>
  <si>
    <t>Round Culvert</t>
  </si>
  <si>
    <t>No</t>
  </si>
  <si>
    <t>Deep Fill</t>
  </si>
  <si>
    <t>High</t>
  </si>
  <si>
    <t>Gershwin Creek</t>
  </si>
  <si>
    <t>Braucher Rd</t>
  </si>
  <si>
    <t>MOTI Local</t>
  </si>
  <si>
    <t>Low</t>
  </si>
  <si>
    <t>Tributary to Skeena River</t>
  </si>
  <si>
    <t>Aldous St</t>
  </si>
  <si>
    <t>Yes</t>
  </si>
  <si>
    <t>Medium</t>
  </si>
  <si>
    <t>Comeau Creek</t>
  </si>
  <si>
    <t>AI</t>
  </si>
  <si>
    <t>Shandilla Creek</t>
  </si>
  <si>
    <t>Oval Culvert</t>
  </si>
  <si>
    <t>Tributary to Chicago Creek</t>
  </si>
  <si>
    <t>Tributary to Gershwin Creek</t>
  </si>
  <si>
    <t>Andimaul Creek</t>
  </si>
  <si>
    <t>Railway</t>
  </si>
  <si>
    <t xml:space="preserve">CN Rail </t>
  </si>
  <si>
    <t>CN Rail</t>
  </si>
  <si>
    <t>Concrete Box</t>
  </si>
  <si>
    <t>Cedarvale Rd</t>
  </si>
  <si>
    <t>Singlehurst Creek</t>
  </si>
  <si>
    <t>Singlehurst Rd</t>
  </si>
  <si>
    <t>Noble Five Creek</t>
  </si>
  <si>
    <t>Fall Creek</t>
  </si>
  <si>
    <t xml:space="preserve">Tributary to Skeena River </t>
  </si>
  <si>
    <t>Bedrock</t>
  </si>
  <si>
    <t>Flint Creek</t>
  </si>
  <si>
    <t>Shallow Fill</t>
  </si>
  <si>
    <t>Spur</t>
  </si>
  <si>
    <t>Coast Tsimshian Resources Limited Partnership</t>
  </si>
  <si>
    <t>Other</t>
  </si>
  <si>
    <t>Tributary to Houston Tommy Creek</t>
  </si>
  <si>
    <t>Canfor R07549</t>
  </si>
  <si>
    <t>Tributary to Morice River</t>
  </si>
  <si>
    <t>Gold Creek FSR</t>
  </si>
  <si>
    <t>Wrinch Creek</t>
  </si>
  <si>
    <t>Morice-Owen FSR</t>
  </si>
  <si>
    <t xml:space="preserve">YLP Woodlands GP Ltd. </t>
  </si>
  <si>
    <t>Emil Creek</t>
  </si>
  <si>
    <t>YLP Woodlands GP Ltd.</t>
  </si>
  <si>
    <t>Knapper Rd</t>
  </si>
  <si>
    <t>Holland Rd</t>
  </si>
  <si>
    <t>Tributary to McDonell Lake</t>
  </si>
  <si>
    <t>Unclassified</t>
  </si>
  <si>
    <t>Tributary to Zymoetz River</t>
  </si>
  <si>
    <t>Dennis West FSR</t>
  </si>
  <si>
    <t>Wetzinkwa Community Forest Corporation</t>
  </si>
  <si>
    <t>Denis West FSR</t>
  </si>
  <si>
    <t>BCTS R22433</t>
  </si>
  <si>
    <t>Open Bottom Structure</t>
  </si>
  <si>
    <t>Wood Box Culvert</t>
  </si>
  <si>
    <t>Tributary to Tagit Creek</t>
  </si>
  <si>
    <t>9946-27 Rd</t>
  </si>
  <si>
    <t>West Fraser Mills Ltd.</t>
  </si>
  <si>
    <t>Small rapids near inlet creating small drop. Appears to be high stream velocity in culvert, installing baffles could be an option. Wide stream with high flow, gravels present upstream. Ministry of Transportation chris_culvert_id: 1522582. 10:42:03</t>
  </si>
  <si>
    <t>Good flowing stream, fry spotted in culvert and upstream. No outlet drop or pool. Some gravels downstream, only sand/fines upstream of culvert. Flows through residential area. Channel is wider upstream than downstream. Ministry of Transportation chris_culvert_id: 1525089. 09:08:22</t>
  </si>
  <si>
    <t>Dewatered stream, very small channel upstream, overgrown and poorly defined. Outlet could not be found. No visible channel downstream. Ministry of Transportation chris_culvert_id: 1522940. 14:08:23</t>
  </si>
  <si>
    <t>Very large stream with massive outlet drop on the pipe. Slight gradient change within the pipe for the last one and a half metres before the outlet as it is a bit steeper. Skeena river is immediately downstream of the outlet.  Pink salmon spawning location noted upstream of the site.  Two rock FISS obstacles noted upstream should be investigated. Ministry of Transportation chris_hwy_structure_road_id: 4100. 15:23:46</t>
  </si>
  <si>
    <t>Relatively wide channel with high flow. Wetland habitat upstream. Beaver grate at inlet, 0.25m wide between vertical metal rods so still passable to all fish. Some stream substrate and cobbles present in culvert.  Historic CT, DV, and RB FISS sites upstream and downstream. Ministry of Transportation chris_culvert_id: 1522560. 11:13:12</t>
  </si>
  <si>
    <t>Fish spotted in outlet pool (approx. 40cm long). Good spawning gravels just downstream of outlet pool. Wide channel.  Culvert has an outlet drop. Ministry of Transportation chris_culvert_id: 1522485. 12:19:12</t>
  </si>
  <si>
    <t>Massive outlet drop. Stream flows over big boulders before dropping down and creating large outlet pool. Some holes in culvert near end of pipe at outlet where water is flowing down through. High stream velocity in pipe. Nice stream with wide channel and high flow. Water line in stream downstream of crossing. Dolly Varden confirmed upstream of crossing.. 15:04:28</t>
  </si>
  <si>
    <t>High value habitat. Major work has been done on this crossing to backwater the outlet using driven sheet pilings. There is an approximate 1.2 m high drop following 40 m of stream after the outlet where adult coho spawners are staged. Incredible spawning habitat upstream with low gradients and abundant gravels. Structure has the date 1920 stamped on the inlet. Known coho spawning system with long history and the Chicago creek restoration society putting in work for over 20 years. Fill depth estimated at 18 m, but changed to 9.9 to fulfill provincial sumbission requirements.. 11:06:50</t>
  </si>
  <si>
    <t>Very high value habitat upstream with pockets of gravel throughout. Adult cutthroat or rainbow observed just downstream of Highway 16 crossing upstream of here. Structure is dated 1923. Water flows within the box. Culvert at the time of the survey was approximately two to 5 cm deep. Skeena fisheries commission site with recommendation for installation of baffles. Fill depth estimated at 30 m and culvert length at 120 m, but changed to 9.9 and 99, respectively, in order to fulfill provincial sumbission requirements.. 13:35:25</t>
  </si>
  <si>
    <t>Dry at the time of survey. Well defined channel. Connects to a side channel of the Skeena River. Ministry of Transportation chris_culvert_id: 1528713. 16:13:26</t>
  </si>
  <si>
    <t>High value spawning habitat upstream. One redd observed upstream. DFO and MOTI historic back watering and side channel sites. Approximately 30 pink salmon spawners and 10 steelhead spawners immediately downstream of the last wooden structure downstream of the pipe.  Crossing in is Kleanza Creek Provincial Park. Ministry of Transportation chris_hwy_structure_road_id: 192334. 10:06:21</t>
  </si>
  <si>
    <t>Abundant gravels present upstream. Very wide channel with good flow. Minimal outlet drop but deep pool. Historic steelhead and coho point upstream.. 10:10:43</t>
  </si>
  <si>
    <t>High fill depth and massive outlet drop. Pipe is bent sideways in the middle, can barely see the other side from inlet. Moderate flow in stream. Ministry of Transportation chris_culvert_id: 1923309. 09:17:20</t>
  </si>
  <si>
    <t>Outlet of pipe is almost at high watermark of the Skeena. Suspect that elevation of the pipe may need to consider high water levels for the Skeena. However, normal high water level is not much higher than outlet pool surface level at time of the survey so outlet drop is nearly always elevated. Large stream with good flow. Coho observed upstream in FISS.  Crossing upstream has completely blown out. Ministry of Transportation chris_culvert_id: 1923295. 09:35:23</t>
  </si>
  <si>
    <t>Big outlet drop and relatively deep pool. Big, wide culvert, some stream substrate in pipe but only on one side. Wide channel, high flow and steep system. Very low fill depth. Small fry seen in pipe. Ministry of Transportation chris_hwy_structure_road_id: 4099. 16:04:40</t>
  </si>
  <si>
    <t>Massive pipe, wide stream with high flow. Baffles in pipe reducing stream velocity and allows fish to rest. Rainbow confirmed upstream and downstream. Ministry of Transportation chris_hwy_structure_road_id: 4098. 14:12:09</t>
  </si>
  <si>
    <t>Big outlet drop to Skeena River channel. Could be accessible during high-water in river. Small channel upstream. Stream is flowing. Chinook sampled upstream in the past. Ministry of Transportation chris_culvert_id: 1923241. 11:29:54</t>
  </si>
  <si>
    <t>Beaver dam approximately 1.4 m high located 5 m upstream of the inlet. Beaver influenced wetland upstream however, stream was dry at time of survey downstream of the dam. Skeena River is immediately downstream of the outlet with the high water level approximately 2 m below pipe outlet. Culvert is in very poor condition with top side of the inlet bent down and pipe rusted all the way through the bottom for the last 2 m of pipe at outlet. The area upstream of the highway may historically have provided refuge in high flows, however, at time of survey water levels were low with water quite stagnant. Ministry of Transportation chris_culvert_id: 1923217. 13:00:04</t>
  </si>
  <si>
    <t>Dewatered, no defined stream channel found. Outlet barely visible. Ministry of Transportation chris_culvert_id: 1526980. 13:29:33</t>
  </si>
  <si>
    <t>Major debris accumulation downstream of the culvert. Stream is dewatered downstream for at least 60 m. There are numerous buried concrete lock blocks downstream of the outlet which may have been part of a backwatering system. Trash rack upstream of the crossing has failed, with steel members scattered throughout the stream. There are poured concrete wing walls upstream of the crossing with the right bank being approximately 8 m long and river left bank wall at 30 m long. Bottom half of the culvert is concrete and the top half is corrugated metal. Steeper stream with step pool habitat and bedrock throughout the channel. Dolly Varden and cutthroat noted upstream in FISS. Ministry of Transportation chris_hwy_structure_road_id: 2351. 14:11:58</t>
  </si>
  <si>
    <t>Small drainage with 1 m high beaver dam approximately 5 m upstream of the inlet. Fine substrate. Seems unlikely that the stream is fish bearing. Historic FISS stream sample site conducted with channel dry at the time of their assessment. Culvert is in very poor condition, rusting through and bent significantly on the outlet. Pipe slope estimated as deformed pipe and position made measurement with clinometer not possible. Ministry of Transportation chris_culvert_id: 1923189. 11:38:36</t>
  </si>
  <si>
    <t>Most of the inlet is blocked with accumulating fines upstream. Pipe is in very poor condition and starting to rust right through on the downstream end. Dolly Varden and rainbow known upstream in FISS. Lots of beaver activity at the outlet. Small stream with mostly fine substrate immediately upstream and downstream of the highway. Ministry of Transportation chris_culvert_id: 1923190. 11:07:49</t>
  </si>
  <si>
    <t>High distance from outlet of pipe to skeena wetted channel. Only accessible at high water. Big, wide wetland area just upstream of highway. Large woody debris blocking most of inlet. No water flowing through pipe. Some stagnant water upstream. Ministry of Transportation chris_culvert_id: 1923235. 10:31:02</t>
  </si>
  <si>
    <t>Historic rainbow point upstream of the highway. Small stream, dewaters (temporarily) 40 m upstream of the crossing. Pipe is in very bad condition and has bend from 13m in all the way to the outlet. Significant amounts of water leaking out of the bottom of the pipe and eroding the road prism at the outlet. Large outlet drop. Ministry of Transportation chris_culvert_id: 1923183. 12:24:21</t>
  </si>
  <si>
    <t>Massive outlet pool. Drains into skeena river side channel. High flow and steep gradient upstream. Only passable upstream to adult salmon. Crossing a definite barrier to all fish. Ministry of Transportation chris_culvert_id: 1923203. 12:48:25</t>
  </si>
  <si>
    <t>Stream is completely blown out at this location due to a major debris event. All water is sub surface.. 09:52:40</t>
  </si>
  <si>
    <t>Very good habitat upstream and downstream. Culvert is a little bent in the middle. Big outlet drop, fish spotted in outlet pool. Moderate flowing stream.. 14:35:45</t>
  </si>
  <si>
    <t>Culvert very warped on inlet side. Deep outlet pool indicating culvert is undersized. Fry spotted in outlet pool. Wide channel with good flow and habitat value. Cutthroat trout confirmed upstream.. 14:12:45</t>
  </si>
  <si>
    <t>Really good flow for the area on this very dry year. Numerous small fish observed upstream of the culvert. Cattle accessing the stream from the road upstream. Large outlet drop.. 14:42:55</t>
  </si>
  <si>
    <t>Stream is mostly dewatered,  not flowing. Some water in pools. Small amount of water in culvert but no flow.ing water. Outlet pool present. Habitat looks good at higher flows.. 13:11:07</t>
  </si>
  <si>
    <t>Good flow for area and this time of year. Small channel through wetland type area downstream. Inlet of pipe is damaged with part of the pipe lodged inside. Substrate upstream appears to be composed of fines only.. 17:07:05</t>
  </si>
  <si>
    <t>Stream is dewatered. Wide channel with embedded culvert. Culvert is filled with substrate almost all the way to the top. Looks like high habitat quality when stream is flowing. Culvert is close to road, with a lower fill depth on inlet side.. 16:55:20</t>
  </si>
  <si>
    <t>Erosion present on road near outlet. Old rusted culvert. Fry spotted near inlet. Debris jam blocking most of inlet. Good habitat on both sides. Not a very high traffic road. Might need restoration if road erodes further. Culvert is a little undersized. Confirmed fish presence upstream of culvert. This crossing and upstream crossing would be good candidates for replacement.. 13:44:21</t>
  </si>
  <si>
    <t>Dewatered tributary. Very overgrown and small stream channel. Culvert is bent downwards near the middle.. 11:48:23</t>
  </si>
  <si>
    <t>Deep outlet pool, culvert may be undersized. Relatively wide stream with good habitat, dolly varden confirmed downstream in the past.. 15:05:09</t>
  </si>
  <si>
    <t>Area of historic sockeye spawning just upstream. Fry observed in stream. Abundant gravel throughout.. 16:49:33</t>
  </si>
  <si>
    <t>Dewatered stream, small channel and overgrown. Very big outlet drop. Historic Fiss obstacle (cascade/chute) just downstream.. 17:02:08</t>
  </si>
  <si>
    <t>Wood box culvert with huge timbers.. 16:47:42</t>
  </si>
  <si>
    <t>Nice stream with good flow and abundant gravel. Pipe is very under sized and appears to have been dredged at the upstream end to clear it. Fish observed in outlet pool.. 18:36:33</t>
  </si>
  <si>
    <t>Wetland habitat upstream and immediately downstream. Defined stream channel approx 10m downstream of crossing. Small channel with low flow. Old culvert, deep outlet pool. Beaver dam at inlet creating small drop.. 14:40:33</t>
  </si>
  <si>
    <t>Replace with New Open Bottom Structure</t>
  </si>
  <si>
    <t>Replace Structure with Streambed Simulation CBS</t>
  </si>
  <si>
    <t>Ford</t>
  </si>
  <si>
    <t>skeena_2023_Phase1</t>
  </si>
  <si>
    <t>00180607</t>
  </si>
  <si>
    <t>Al Irvine</t>
  </si>
  <si>
    <t>250-777-1518</t>
  </si>
  <si>
    <t>al@newgraphenvironment.com</t>
  </si>
  <si>
    <t>00198456</t>
  </si>
  <si>
    <t>OTHER</t>
  </si>
  <si>
    <t>Culvert is barely visible, small part of outlet can be seen but the rest is buried and submerged in water. Inlet not visible. Pipe looks very old and in bad condition. Moderate flow downstream with well defined channel. Upstream channel is very overgrown and grassy vegetation. Culvert slope estimated.  Wetland upstream. Ministry of Transportation chris_culvert_id: 1525550. 11:47:42</t>
  </si>
  <si>
    <t>Very long culvert. Small road/trail between highway and outlet, culvert runs underneath both. Upstream side is in fenced off agricultural field, could not access. Lots of fines/sands in stream bed. Some gravels and cobbles. Good flow in culvert.  Outlet drop estimated from photos as recorded 5cm appears erroneous.  Historic CT FISS sites upstream and downstream as well as fry spotted during assessment of downstream crossing. Ministry of Transportation chris_culvert_id: 1522604. 09:32:36</t>
  </si>
  <si>
    <t>Grassy wetland habitat upstream and small channel. Steep system. Stream bed substrate is mostly mud. 16:12:26</t>
  </si>
  <si>
    <t>Skeena Fish Passage Restoration Planning 2023 - Phase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</si>
</sst>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7"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B4" sqref="B4"/>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198</v>
      </c>
    </row>
    <row r="5" spans="1:20">
      <c r="A5" s="4" t="s">
        <v>58</v>
      </c>
      <c r="B5" t="s">
        <v>208</v>
      </c>
    </row>
    <row r="6" spans="1:20">
      <c r="A6" s="4"/>
      <c r="B6" s="10"/>
    </row>
    <row r="7" spans="1:20">
      <c r="A7" s="4" t="s">
        <v>86</v>
      </c>
      <c r="B7" s="83" t="s">
        <v>199</v>
      </c>
    </row>
    <row r="8" spans="1:20">
      <c r="A8" s="4" t="s">
        <v>73</v>
      </c>
      <c r="B8" t="s">
        <v>200</v>
      </c>
    </row>
    <row r="9" spans="1:20">
      <c r="A9" s="4" t="s">
        <v>74</v>
      </c>
      <c r="B9" t="s">
        <v>201</v>
      </c>
    </row>
    <row r="10" spans="1:20">
      <c r="A10" s="4" t="s">
        <v>75</v>
      </c>
      <c r="B10" s="84" t="s">
        <v>202</v>
      </c>
    </row>
    <row r="11" spans="1:20">
      <c r="A11" s="4"/>
      <c r="B11" s="10"/>
    </row>
    <row r="12" spans="1:20">
      <c r="A12" s="4" t="s">
        <v>36</v>
      </c>
      <c r="B12" s="83" t="s">
        <v>203</v>
      </c>
    </row>
    <row r="13" spans="1:20">
      <c r="A13" s="4" t="s">
        <v>37</v>
      </c>
      <c r="B13" t="s">
        <v>200</v>
      </c>
    </row>
    <row r="14" spans="1:20">
      <c r="A14" s="4" t="s">
        <v>38</v>
      </c>
      <c r="B14" t="s">
        <v>201</v>
      </c>
    </row>
    <row r="15" spans="1:20">
      <c r="A15" s="4" t="s">
        <v>39</v>
      </c>
      <c r="B15" s="84" t="s">
        <v>202</v>
      </c>
    </row>
    <row r="16" spans="1:20">
      <c r="A16" s="4"/>
      <c r="B16" s="10"/>
    </row>
    <row r="17" spans="1:2">
      <c r="A17" s="4" t="s">
        <v>40</v>
      </c>
      <c r="B17">
        <v>30000</v>
      </c>
    </row>
    <row r="18" spans="1:2">
      <c r="A18" s="4" t="s">
        <v>41</v>
      </c>
      <c r="B18" t="s">
        <v>204</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13:B15">
    <cfRule type="containsBlanks" dxfId="7" priority="2" stopIfTrue="1">
      <formula>LEN(TRIM(B13))=0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2">
    <cfRule type="containsBlanks" dxfId="4" priority="1" stopIfTrue="1">
      <formula>LEN(TRIM(B12))=0</formula>
    </cfRule>
  </conditionalFormatting>
  <conditionalFormatting sqref="B4:B5">
    <cfRule type="containsBlanks" dxfId="3" priority="5"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D3D5D310-3A64-D441-95FA-FC53F1606BA3}">
      <formula1>0</formula1>
      <formula2>255</formula2>
    </dataValidation>
    <dataValidation type="custom" allowBlank="1" showInputMessage="1" showErrorMessage="1" errorTitle="Invalid Format" error="The Phone number must be 10 digits minimum. The format must match the following mask: ###-###-####" sqref="B9 B14" xr:uid="{05F0AF0F-FC2F-174C-ADB3-F68A6E3647D0}">
      <formula1>IF(LEN(B9)=12,LEN(B9)-LEN(SUBSTITUTE(B9,"-",""))=2,IF(LEN(B9)=10,LEN(B9)-LEN(SUBSTITUTE(B9,"-",""))=1,LEN(B9)=5))</formula1>
    </dataValidation>
    <dataValidation type="textLength" allowBlank="1" showInputMessage="1" showErrorMessage="1" sqref="B5 B10 B15" xr:uid="{42D7D0AA-D162-C441-BBD4-34768FB6D046}">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7D4CA8D3-7EEC-7146-989E-CA4341392916}">
      <formula1>0</formula1>
      <formula2>8</formula2>
    </dataValidation>
  </dataValidations>
  <hyperlinks>
    <hyperlink ref="B10" r:id="rId1" xr:uid="{E527C322-CD31-1B47-8372-0ED974D74C9A}"/>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37" activePane="bottomLeft" state="frozen"/>
      <selection pane="bottomLeft" activeCell="AP45" sqref="AP45"/>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45194</v>
      </c>
      <c r="C5" s="10">
        <v>8300003</v>
      </c>
      <c r="D5" s="10" t="s">
        <v>92</v>
      </c>
      <c r="E5" s="11">
        <v>9</v>
      </c>
      <c r="F5" s="39">
        <v>585140</v>
      </c>
      <c r="G5" s="39">
        <v>6119115</v>
      </c>
      <c r="H5" s="11" t="s">
        <v>93</v>
      </c>
      <c r="I5" s="11" t="s">
        <v>94</v>
      </c>
      <c r="J5" s="33"/>
      <c r="K5" s="11" t="s">
        <v>95</v>
      </c>
      <c r="L5" s="10" t="s">
        <v>96</v>
      </c>
      <c r="M5" s="10" t="s">
        <v>97</v>
      </c>
      <c r="N5" s="85">
        <v>1.6</v>
      </c>
      <c r="O5" s="85">
        <v>20</v>
      </c>
      <c r="P5" s="10" t="s">
        <v>98</v>
      </c>
      <c r="Q5" s="86"/>
      <c r="R5" s="10" t="s">
        <v>98</v>
      </c>
      <c r="S5" s="10" t="s">
        <v>98</v>
      </c>
      <c r="T5" s="86"/>
      <c r="U5" s="10">
        <v>4</v>
      </c>
      <c r="V5" s="10">
        <v>0.2</v>
      </c>
      <c r="W5" s="10">
        <v>0.7</v>
      </c>
      <c r="X5" s="10" t="s">
        <v>98</v>
      </c>
      <c r="Y5" s="10">
        <v>4.5</v>
      </c>
      <c r="Z5" s="10">
        <v>3.9</v>
      </c>
      <c r="AA5" s="10">
        <v>3</v>
      </c>
      <c r="AB5" s="10" t="s">
        <v>98</v>
      </c>
      <c r="AC5" s="10" t="s">
        <v>98</v>
      </c>
      <c r="AD5" s="10" t="s">
        <v>99</v>
      </c>
      <c r="AE5" s="10" t="s">
        <v>100</v>
      </c>
      <c r="AF5" s="20">
        <f>IF(ISBLANK(Z5), 0, IF(ISBLANK(N5) &lt; 0, 0,Z5 / N5))</f>
        <v>2.4375</v>
      </c>
      <c r="AG5" s="13">
        <f>IF(O5&lt;15,0,IF(AND(O5&gt;=15,O5&lt;30),3,IF(O5&gt;=30,6,0)))</f>
        <v>3</v>
      </c>
      <c r="AH5" s="7">
        <f>IF(P5 = "No", 10, IF(ISBLANK(N5), 0, IF(ISBLANK(Q5), 0, IF(OR(Q5 / N5 &lt;= 0.2, Q5 &lt; 0.3), 5, IF(OR(Q5 / N5 &gt;= 0.2, Q5 &gt;= 0.3), 0)))))</f>
        <v>10</v>
      </c>
      <c r="AI5" s="7">
        <f>IF(V5&lt;0.15,0,IF(AND(V5&gt;=0.15,V5&lt;0.3),5,IF(V5&gt;=0.3,10,0)))</f>
        <v>5</v>
      </c>
      <c r="AJ5" s="7">
        <f>IF(Y5&lt;1,0,IF(AND(Y5&gt;=1,Y5&lt;3),5,IF(Y5&gt;=3,10,0)))</f>
        <v>10</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10" t="s">
        <v>195</v>
      </c>
      <c r="AO5" s="10">
        <v>18</v>
      </c>
      <c r="AP5" s="78" t="s">
        <v>155</v>
      </c>
    </row>
    <row r="6" spans="1:42" ht="16">
      <c r="A6" s="59">
        <v>45194</v>
      </c>
      <c r="C6" s="10">
        <v>8300013</v>
      </c>
      <c r="D6" s="10" t="s">
        <v>92</v>
      </c>
      <c r="E6" s="11">
        <v>9</v>
      </c>
      <c r="F6" s="39">
        <v>581146</v>
      </c>
      <c r="G6" s="39">
        <v>6115874</v>
      </c>
      <c r="H6" s="10" t="s">
        <v>101</v>
      </c>
      <c r="I6" s="11" t="s">
        <v>102</v>
      </c>
      <c r="J6" s="33"/>
      <c r="K6" s="10" t="s">
        <v>103</v>
      </c>
      <c r="L6" s="10" t="s">
        <v>96</v>
      </c>
      <c r="M6" s="10" t="s">
        <v>97</v>
      </c>
      <c r="N6" s="85">
        <v>0.75</v>
      </c>
      <c r="O6" s="85">
        <v>8</v>
      </c>
      <c r="P6" s="10" t="s">
        <v>98</v>
      </c>
      <c r="Q6" s="86"/>
      <c r="R6" s="10" t="s">
        <v>98</v>
      </c>
      <c r="S6" s="10" t="s">
        <v>98</v>
      </c>
      <c r="T6" s="86"/>
      <c r="U6" s="10">
        <v>1</v>
      </c>
      <c r="V6" s="10">
        <v>0</v>
      </c>
      <c r="W6" s="10">
        <v>0</v>
      </c>
      <c r="X6" s="10" t="s">
        <v>98</v>
      </c>
      <c r="Y6" s="10">
        <v>2</v>
      </c>
      <c r="Z6" s="10">
        <v>2.1</v>
      </c>
      <c r="AA6" s="10">
        <v>3</v>
      </c>
      <c r="AB6" s="10" t="s">
        <v>98</v>
      </c>
      <c r="AC6" s="10" t="s">
        <v>98</v>
      </c>
      <c r="AD6" s="10" t="s">
        <v>99</v>
      </c>
      <c r="AE6" s="10" t="s">
        <v>104</v>
      </c>
      <c r="AF6" s="20">
        <f t="shared" ref="AF6:AF11" si="0">IF(ISBLANK(Z6), 0, IF(ISBLANK(N6) &lt; 0, 0,Z6 / N6))</f>
        <v>2.8000000000000003</v>
      </c>
      <c r="AG6" s="13">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21</v>
      </c>
      <c r="AM6" s="14" t="str">
        <f t="shared" ref="AM6:AM67" si="7">IF(ISBLANK(L6), "", IF(L6 = "Open Bottom Structure", "Passable", IF(L6 = "Other", "Unknown", IF(AL6 &lt; 15, "Passable", IF(AND(AL6 &gt;= 15,AL6 &lt;= 19), "Potential", IF(AL6 &gt; 19, "Barrier", ""))))))</f>
        <v>Barrier</v>
      </c>
      <c r="AN6" s="10" t="s">
        <v>195</v>
      </c>
      <c r="AO6" s="10">
        <v>15</v>
      </c>
      <c r="AP6" s="78" t="s">
        <v>205</v>
      </c>
    </row>
    <row r="7" spans="1:42" ht="16">
      <c r="A7" s="59">
        <v>45194</v>
      </c>
      <c r="C7" s="10">
        <v>8300091</v>
      </c>
      <c r="D7" s="10" t="s">
        <v>92</v>
      </c>
      <c r="E7" s="11">
        <v>9</v>
      </c>
      <c r="F7" s="39">
        <v>585181</v>
      </c>
      <c r="G7" s="39">
        <v>6120192</v>
      </c>
      <c r="H7" s="10" t="s">
        <v>105</v>
      </c>
      <c r="I7" s="11" t="s">
        <v>106</v>
      </c>
      <c r="J7" s="33"/>
      <c r="K7" s="10" t="s">
        <v>95</v>
      </c>
      <c r="L7" s="10" t="s">
        <v>96</v>
      </c>
      <c r="M7" s="10" t="s">
        <v>97</v>
      </c>
      <c r="N7" s="21">
        <v>2</v>
      </c>
      <c r="O7" s="21">
        <v>15</v>
      </c>
      <c r="P7" s="10" t="s">
        <v>98</v>
      </c>
      <c r="Q7" s="86"/>
      <c r="R7" s="10" t="s">
        <v>98</v>
      </c>
      <c r="S7" s="10" t="s">
        <v>98</v>
      </c>
      <c r="T7" s="86"/>
      <c r="U7" s="10">
        <v>2.2000000000000002</v>
      </c>
      <c r="V7" s="10">
        <v>0</v>
      </c>
      <c r="W7" s="10">
        <v>0</v>
      </c>
      <c r="X7" s="10" t="s">
        <v>98</v>
      </c>
      <c r="Y7" s="10">
        <v>1</v>
      </c>
      <c r="Z7" s="10">
        <v>3.1</v>
      </c>
      <c r="AA7" s="10">
        <v>1</v>
      </c>
      <c r="AB7" s="10" t="s">
        <v>98</v>
      </c>
      <c r="AC7" s="10" t="s">
        <v>107</v>
      </c>
      <c r="AD7" s="10" t="s">
        <v>99</v>
      </c>
      <c r="AE7" s="10" t="s">
        <v>108</v>
      </c>
      <c r="AF7" s="20">
        <f t="shared" si="0"/>
        <v>1.55</v>
      </c>
      <c r="AG7" s="13">
        <f t="shared" si="1"/>
        <v>3</v>
      </c>
      <c r="AH7" s="7">
        <f t="shared" si="2"/>
        <v>10</v>
      </c>
      <c r="AI7" s="7">
        <f t="shared" si="3"/>
        <v>0</v>
      </c>
      <c r="AJ7" s="7">
        <f t="shared" si="4"/>
        <v>5</v>
      </c>
      <c r="AK7" s="7">
        <f t="shared" si="5"/>
        <v>6</v>
      </c>
      <c r="AL7" s="12">
        <f t="shared" si="6"/>
        <v>24</v>
      </c>
      <c r="AM7" s="14" t="str">
        <f t="shared" si="7"/>
        <v>Barrier</v>
      </c>
      <c r="AN7" s="10" t="s">
        <v>195</v>
      </c>
      <c r="AO7" s="10">
        <v>15</v>
      </c>
      <c r="AP7" s="10" t="s">
        <v>156</v>
      </c>
    </row>
    <row r="8" spans="1:42" ht="16">
      <c r="A8" s="59">
        <v>45194</v>
      </c>
      <c r="B8" s="82"/>
      <c r="C8" s="10">
        <v>8300094</v>
      </c>
      <c r="D8" s="10" t="s">
        <v>92</v>
      </c>
      <c r="E8" s="11">
        <v>9</v>
      </c>
      <c r="F8" s="39">
        <v>578738</v>
      </c>
      <c r="G8" s="39">
        <v>6113139</v>
      </c>
      <c r="H8" s="10" t="s">
        <v>109</v>
      </c>
      <c r="I8" s="11" t="s">
        <v>94</v>
      </c>
      <c r="J8" s="79"/>
      <c r="K8" s="81" t="s">
        <v>95</v>
      </c>
      <c r="L8" s="10" t="s">
        <v>96</v>
      </c>
      <c r="M8" s="10" t="s">
        <v>97</v>
      </c>
      <c r="N8" s="21">
        <v>0.9</v>
      </c>
      <c r="O8" s="21">
        <v>32</v>
      </c>
      <c r="P8" s="10" t="s">
        <v>98</v>
      </c>
      <c r="Q8" s="86"/>
      <c r="R8" s="10" t="s">
        <v>98</v>
      </c>
      <c r="S8" s="10" t="s">
        <v>98</v>
      </c>
      <c r="T8" s="86"/>
      <c r="U8" s="10">
        <v>3</v>
      </c>
      <c r="V8" s="10">
        <v>0</v>
      </c>
      <c r="W8" s="10">
        <v>0</v>
      </c>
      <c r="X8" s="10" t="s">
        <v>98</v>
      </c>
      <c r="Y8" s="10">
        <v>2</v>
      </c>
      <c r="Z8" s="10">
        <v>0.9</v>
      </c>
      <c r="AA8" s="10">
        <v>3</v>
      </c>
      <c r="AB8" s="10" t="s">
        <v>98</v>
      </c>
      <c r="AC8" s="10" t="s">
        <v>98</v>
      </c>
      <c r="AD8" s="10" t="s">
        <v>99</v>
      </c>
      <c r="AE8" s="10" t="s">
        <v>104</v>
      </c>
      <c r="AF8" s="20">
        <f t="shared" si="0"/>
        <v>1</v>
      </c>
      <c r="AG8" s="13">
        <f t="shared" si="1"/>
        <v>6</v>
      </c>
      <c r="AH8" s="7">
        <f t="shared" si="2"/>
        <v>10</v>
      </c>
      <c r="AI8" s="7">
        <f t="shared" si="3"/>
        <v>0</v>
      </c>
      <c r="AJ8" s="7">
        <f t="shared" si="4"/>
        <v>5</v>
      </c>
      <c r="AK8" s="7">
        <f t="shared" si="5"/>
        <v>3</v>
      </c>
      <c r="AL8" s="12">
        <f t="shared" si="6"/>
        <v>24</v>
      </c>
      <c r="AM8" s="14" t="str">
        <f t="shared" si="7"/>
        <v>Barrier</v>
      </c>
      <c r="AN8" s="10" t="s">
        <v>196</v>
      </c>
      <c r="AO8" s="10">
        <v>3</v>
      </c>
      <c r="AP8" s="10" t="s">
        <v>157</v>
      </c>
    </row>
    <row r="9" spans="1:42" ht="16">
      <c r="A9" s="59">
        <v>45194</v>
      </c>
      <c r="C9" s="10">
        <v>8300157</v>
      </c>
      <c r="D9" s="10" t="s">
        <v>110</v>
      </c>
      <c r="E9" s="11">
        <v>9</v>
      </c>
      <c r="F9" s="39">
        <v>562494</v>
      </c>
      <c r="G9" s="39">
        <v>6105029</v>
      </c>
      <c r="H9" s="78" t="s">
        <v>111</v>
      </c>
      <c r="I9" s="11" t="s">
        <v>94</v>
      </c>
      <c r="J9" s="33"/>
      <c r="K9" s="81" t="s">
        <v>95</v>
      </c>
      <c r="L9" s="10" t="s">
        <v>96</v>
      </c>
      <c r="M9" s="10" t="s">
        <v>112</v>
      </c>
      <c r="N9" s="21">
        <v>4.5</v>
      </c>
      <c r="O9" s="21">
        <v>28</v>
      </c>
      <c r="P9" s="10" t="s">
        <v>98</v>
      </c>
      <c r="Q9" s="86"/>
      <c r="R9" s="10" t="s">
        <v>98</v>
      </c>
      <c r="S9" s="10" t="s">
        <v>98</v>
      </c>
      <c r="T9" s="86"/>
      <c r="U9" s="10">
        <v>4</v>
      </c>
      <c r="V9" s="10">
        <v>2</v>
      </c>
      <c r="W9" s="10">
        <v>0.4</v>
      </c>
      <c r="X9" s="10" t="s">
        <v>107</v>
      </c>
      <c r="Y9" s="10">
        <v>5.5</v>
      </c>
      <c r="Z9" s="10">
        <v>5.8</v>
      </c>
      <c r="AA9" s="10">
        <v>8</v>
      </c>
      <c r="AB9" s="10" t="s">
        <v>98</v>
      </c>
      <c r="AC9" s="10" t="s">
        <v>98</v>
      </c>
      <c r="AD9" s="10" t="s">
        <v>99</v>
      </c>
      <c r="AE9" s="10" t="s">
        <v>100</v>
      </c>
      <c r="AF9" s="20">
        <f t="shared" si="0"/>
        <v>1.2888888888888888</v>
      </c>
      <c r="AG9" s="13">
        <f t="shared" si="1"/>
        <v>3</v>
      </c>
      <c r="AH9" s="7">
        <f t="shared" si="2"/>
        <v>10</v>
      </c>
      <c r="AI9" s="7">
        <f t="shared" si="3"/>
        <v>10</v>
      </c>
      <c r="AJ9" s="7">
        <f t="shared" si="4"/>
        <v>10</v>
      </c>
      <c r="AK9" s="7">
        <f t="shared" si="5"/>
        <v>3</v>
      </c>
      <c r="AL9" s="12">
        <f t="shared" si="6"/>
        <v>36</v>
      </c>
      <c r="AM9" s="14" t="str">
        <f t="shared" si="7"/>
        <v>Barrier</v>
      </c>
      <c r="AN9" s="10" t="s">
        <v>195</v>
      </c>
      <c r="AO9" s="10">
        <v>18</v>
      </c>
      <c r="AP9" s="10" t="s">
        <v>158</v>
      </c>
    </row>
    <row r="10" spans="1:42" ht="16">
      <c r="A10" s="59">
        <v>45194</v>
      </c>
      <c r="C10" s="10">
        <v>8300756</v>
      </c>
      <c r="D10" s="10" t="s">
        <v>92</v>
      </c>
      <c r="E10" s="11">
        <v>9</v>
      </c>
      <c r="F10" s="39">
        <v>585631</v>
      </c>
      <c r="G10" s="39">
        <v>6120092</v>
      </c>
      <c r="H10" s="78" t="s">
        <v>105</v>
      </c>
      <c r="I10" s="11" t="s">
        <v>94</v>
      </c>
      <c r="J10" s="33"/>
      <c r="K10" s="10" t="s">
        <v>95</v>
      </c>
      <c r="L10" s="10" t="s">
        <v>96</v>
      </c>
      <c r="M10" s="10" t="s">
        <v>97</v>
      </c>
      <c r="N10" s="21">
        <v>1.25</v>
      </c>
      <c r="O10" s="21">
        <v>34</v>
      </c>
      <c r="P10" s="10" t="s">
        <v>98</v>
      </c>
      <c r="Q10" s="87"/>
      <c r="R10" s="10" t="s">
        <v>98</v>
      </c>
      <c r="S10" s="10" t="s">
        <v>98</v>
      </c>
      <c r="T10" s="87"/>
      <c r="U10" s="21">
        <v>6</v>
      </c>
      <c r="V10" s="10">
        <v>0.2</v>
      </c>
      <c r="W10" s="21">
        <v>0.3</v>
      </c>
      <c r="X10" s="10" t="s">
        <v>98</v>
      </c>
      <c r="Y10" s="21">
        <v>0.5</v>
      </c>
      <c r="Z10" s="21">
        <v>2.4</v>
      </c>
      <c r="AA10" s="10">
        <v>2</v>
      </c>
      <c r="AB10" s="10" t="s">
        <v>98</v>
      </c>
      <c r="AC10" s="10" t="s">
        <v>98</v>
      </c>
      <c r="AD10" s="10" t="s">
        <v>99</v>
      </c>
      <c r="AE10" s="10" t="s">
        <v>108</v>
      </c>
      <c r="AF10" s="20">
        <f t="shared" si="0"/>
        <v>1.92</v>
      </c>
      <c r="AG10" s="13">
        <f t="shared" si="1"/>
        <v>6</v>
      </c>
      <c r="AH10" s="7">
        <f t="shared" si="2"/>
        <v>10</v>
      </c>
      <c r="AI10" s="7">
        <f t="shared" si="3"/>
        <v>5</v>
      </c>
      <c r="AJ10" s="7">
        <f t="shared" si="4"/>
        <v>0</v>
      </c>
      <c r="AK10" s="7">
        <f t="shared" si="5"/>
        <v>6</v>
      </c>
      <c r="AL10" s="12">
        <f t="shared" si="6"/>
        <v>27</v>
      </c>
      <c r="AM10" s="14" t="str">
        <f t="shared" si="7"/>
        <v>Barrier</v>
      </c>
      <c r="AN10" s="10" t="s">
        <v>196</v>
      </c>
      <c r="AO10" s="21">
        <v>4.5</v>
      </c>
      <c r="AP10" s="10" t="s">
        <v>206</v>
      </c>
    </row>
    <row r="11" spans="1:42" ht="16">
      <c r="A11" s="59">
        <v>45194</v>
      </c>
      <c r="C11" s="78">
        <v>8300759</v>
      </c>
      <c r="D11" s="10" t="s">
        <v>92</v>
      </c>
      <c r="E11" s="10">
        <v>9</v>
      </c>
      <c r="F11" s="80">
        <v>584965</v>
      </c>
      <c r="G11" s="80">
        <v>6118989</v>
      </c>
      <c r="H11" s="78" t="s">
        <v>113</v>
      </c>
      <c r="I11" s="11" t="s">
        <v>94</v>
      </c>
      <c r="J11" s="33"/>
      <c r="K11" s="10" t="s">
        <v>95</v>
      </c>
      <c r="L11" s="10" t="s">
        <v>96</v>
      </c>
      <c r="M11" s="10" t="s">
        <v>97</v>
      </c>
      <c r="N11" s="21">
        <v>1.8</v>
      </c>
      <c r="O11" s="21">
        <v>22</v>
      </c>
      <c r="P11" s="10" t="s">
        <v>98</v>
      </c>
      <c r="Q11" s="87"/>
      <c r="R11" s="10" t="s">
        <v>98</v>
      </c>
      <c r="S11" s="10" t="s">
        <v>98</v>
      </c>
      <c r="T11" s="87"/>
      <c r="U11" s="21">
        <v>1.6</v>
      </c>
      <c r="V11" s="10">
        <v>0</v>
      </c>
      <c r="W11" s="21">
        <v>0</v>
      </c>
      <c r="X11" s="10" t="s">
        <v>98</v>
      </c>
      <c r="Y11" s="21">
        <v>0.5</v>
      </c>
      <c r="Z11" s="21">
        <v>2.2999999999999998</v>
      </c>
      <c r="AA11" s="10">
        <v>3.5</v>
      </c>
      <c r="AB11" s="10" t="s">
        <v>107</v>
      </c>
      <c r="AC11" s="10" t="s">
        <v>98</v>
      </c>
      <c r="AD11" s="10" t="s">
        <v>99</v>
      </c>
      <c r="AE11" s="10" t="s">
        <v>108</v>
      </c>
      <c r="AF11" s="20">
        <f t="shared" si="0"/>
        <v>1.2777777777777777</v>
      </c>
      <c r="AG11" s="13">
        <f t="shared" si="1"/>
        <v>3</v>
      </c>
      <c r="AH11" s="7">
        <f t="shared" si="2"/>
        <v>10</v>
      </c>
      <c r="AI11" s="7">
        <f t="shared" si="3"/>
        <v>0</v>
      </c>
      <c r="AJ11" s="7">
        <f>IF(Y11&lt;1,0,IF(AND(Y11&gt;=1,Y11&lt;3),5,IF(Y11&gt;=3,10,0)))</f>
        <v>0</v>
      </c>
      <c r="AK11" s="7">
        <f t="shared" si="5"/>
        <v>3</v>
      </c>
      <c r="AL11" s="12">
        <f t="shared" si="6"/>
        <v>16</v>
      </c>
      <c r="AM11" s="14" t="str">
        <f t="shared" si="7"/>
        <v>Potential</v>
      </c>
      <c r="AN11" s="10" t="s">
        <v>195</v>
      </c>
      <c r="AO11" s="10">
        <v>15</v>
      </c>
      <c r="AP11" s="10" t="s">
        <v>159</v>
      </c>
    </row>
    <row r="12" spans="1:42" ht="32">
      <c r="A12" s="59">
        <v>45194</v>
      </c>
      <c r="C12" s="10">
        <v>8300872</v>
      </c>
      <c r="D12" s="10" t="s">
        <v>92</v>
      </c>
      <c r="E12" s="11">
        <v>9</v>
      </c>
      <c r="F12" s="39">
        <v>581259</v>
      </c>
      <c r="G12" s="39">
        <v>6115642</v>
      </c>
      <c r="H12" s="11" t="s">
        <v>114</v>
      </c>
      <c r="I12" s="11" t="s">
        <v>94</v>
      </c>
      <c r="J12" s="33"/>
      <c r="K12" s="11" t="s">
        <v>95</v>
      </c>
      <c r="L12" s="10" t="s">
        <v>96</v>
      </c>
      <c r="M12" s="10" t="s">
        <v>97</v>
      </c>
      <c r="N12" s="21">
        <v>1.5</v>
      </c>
      <c r="O12" s="21">
        <v>20</v>
      </c>
      <c r="P12" s="10" t="s">
        <v>98</v>
      </c>
      <c r="Q12" s="86"/>
      <c r="R12" s="10" t="s">
        <v>98</v>
      </c>
      <c r="S12" s="10" t="s">
        <v>98</v>
      </c>
      <c r="T12" s="87"/>
      <c r="U12" s="21">
        <v>3</v>
      </c>
      <c r="V12" s="10">
        <v>0.4</v>
      </c>
      <c r="W12" s="21">
        <v>0.9</v>
      </c>
      <c r="X12" s="10" t="s">
        <v>98</v>
      </c>
      <c r="Y12" s="21">
        <v>2</v>
      </c>
      <c r="Z12" s="21">
        <v>4.0999999999999996</v>
      </c>
      <c r="AA12" s="10">
        <v>1.5</v>
      </c>
      <c r="AB12" s="10" t="s">
        <v>98</v>
      </c>
      <c r="AC12" s="10" t="s">
        <v>98</v>
      </c>
      <c r="AD12" s="10" t="s">
        <v>99</v>
      </c>
      <c r="AE12" s="10" t="s">
        <v>100</v>
      </c>
      <c r="AF12" s="20">
        <f t="shared" ref="AF12:AF72" si="8">IF(ISBLANK(Z12), 0, IF(ISBLANK(N12) &lt; 0, 0,Z12 / N12))</f>
        <v>2.7333333333333329</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195</v>
      </c>
      <c r="AO12" s="21">
        <v>15</v>
      </c>
      <c r="AP12" s="10" t="s">
        <v>160</v>
      </c>
    </row>
    <row r="13" spans="1:42" ht="16">
      <c r="A13" s="59">
        <v>45194</v>
      </c>
      <c r="C13" s="10">
        <v>8300970</v>
      </c>
      <c r="D13" s="10" t="s">
        <v>92</v>
      </c>
      <c r="E13" s="11">
        <v>9</v>
      </c>
      <c r="F13" s="39">
        <v>569106</v>
      </c>
      <c r="G13" s="39">
        <v>6105804</v>
      </c>
      <c r="H13" s="11" t="s">
        <v>115</v>
      </c>
      <c r="I13" s="11" t="s">
        <v>94</v>
      </c>
      <c r="K13" s="11" t="s">
        <v>95</v>
      </c>
      <c r="L13" s="10" t="s">
        <v>96</v>
      </c>
      <c r="M13" s="10" t="s">
        <v>97</v>
      </c>
      <c r="N13" s="21">
        <v>1.5</v>
      </c>
      <c r="O13" s="21">
        <v>20</v>
      </c>
      <c r="P13" s="10" t="s">
        <v>98</v>
      </c>
      <c r="Q13" s="86"/>
      <c r="R13" s="10" t="s">
        <v>98</v>
      </c>
      <c r="S13" s="10" t="s">
        <v>98</v>
      </c>
      <c r="T13" s="86"/>
      <c r="U13" s="21">
        <v>1.2</v>
      </c>
      <c r="V13" s="10">
        <v>1.6</v>
      </c>
      <c r="W13" s="21">
        <v>0.5</v>
      </c>
      <c r="X13" s="10" t="s">
        <v>98</v>
      </c>
      <c r="Y13" s="21">
        <v>5</v>
      </c>
      <c r="Z13" s="21">
        <v>3.9</v>
      </c>
      <c r="AA13" s="10">
        <v>7</v>
      </c>
      <c r="AB13" s="10" t="s">
        <v>98</v>
      </c>
      <c r="AC13" s="10" t="s">
        <v>98</v>
      </c>
      <c r="AD13" s="10" t="s">
        <v>99</v>
      </c>
      <c r="AE13" s="10" t="s">
        <v>100</v>
      </c>
      <c r="AF13" s="20">
        <f t="shared" si="8"/>
        <v>2.6</v>
      </c>
      <c r="AG13" s="13">
        <f t="shared" si="1"/>
        <v>3</v>
      </c>
      <c r="AH13" s="7">
        <f t="shared" si="2"/>
        <v>10</v>
      </c>
      <c r="AI13" s="7">
        <f t="shared" si="3"/>
        <v>10</v>
      </c>
      <c r="AJ13" s="7">
        <f t="shared" si="4"/>
        <v>10</v>
      </c>
      <c r="AK13" s="7">
        <f t="shared" si="5"/>
        <v>6</v>
      </c>
      <c r="AL13" s="12">
        <f t="shared" si="9"/>
        <v>39</v>
      </c>
      <c r="AM13" s="14" t="str">
        <f t="shared" si="7"/>
        <v>Barrier</v>
      </c>
      <c r="AN13" s="10" t="s">
        <v>195</v>
      </c>
      <c r="AO13" s="21">
        <v>15</v>
      </c>
      <c r="AP13" s="10" t="s">
        <v>161</v>
      </c>
    </row>
    <row r="14" spans="1:42" ht="16">
      <c r="A14" s="59">
        <v>45194</v>
      </c>
      <c r="C14" s="10">
        <v>8302868</v>
      </c>
      <c r="D14" s="10" t="s">
        <v>110</v>
      </c>
      <c r="E14" s="11">
        <v>9</v>
      </c>
      <c r="F14" s="39">
        <v>584388</v>
      </c>
      <c r="G14" s="39">
        <v>6119507</v>
      </c>
      <c r="H14" s="11" t="s">
        <v>93</v>
      </c>
      <c r="I14" s="11" t="s">
        <v>116</v>
      </c>
      <c r="K14" s="11" t="s">
        <v>117</v>
      </c>
      <c r="L14" s="10" t="s">
        <v>96</v>
      </c>
      <c r="M14" s="10" t="s">
        <v>97</v>
      </c>
      <c r="N14" s="21">
        <v>1.7</v>
      </c>
      <c r="O14" s="21">
        <v>75</v>
      </c>
      <c r="P14" s="10" t="s">
        <v>98</v>
      </c>
      <c r="Q14" s="86"/>
      <c r="R14" s="10" t="s">
        <v>98</v>
      </c>
      <c r="S14" s="10" t="s">
        <v>98</v>
      </c>
      <c r="T14" s="86"/>
      <c r="U14" s="21">
        <v>9.9</v>
      </c>
      <c r="V14" s="10">
        <v>1.2</v>
      </c>
      <c r="W14" s="21">
        <v>1</v>
      </c>
      <c r="X14" s="10" t="s">
        <v>107</v>
      </c>
      <c r="Y14" s="21">
        <v>2</v>
      </c>
      <c r="Z14" s="21">
        <v>5</v>
      </c>
      <c r="AA14" s="10">
        <v>2</v>
      </c>
      <c r="AB14" s="10" t="s">
        <v>98</v>
      </c>
      <c r="AC14" s="10" t="s">
        <v>107</v>
      </c>
      <c r="AD14" s="10" t="s">
        <v>99</v>
      </c>
      <c r="AE14" s="10" t="s">
        <v>100</v>
      </c>
      <c r="AF14" s="20">
        <f t="shared" si="8"/>
        <v>2.9411764705882355</v>
      </c>
      <c r="AG14" s="13">
        <f t="shared" si="1"/>
        <v>6</v>
      </c>
      <c r="AH14" s="7">
        <f t="shared" si="2"/>
        <v>10</v>
      </c>
      <c r="AI14" s="7">
        <f t="shared" si="3"/>
        <v>10</v>
      </c>
      <c r="AJ14" s="7">
        <f t="shared" si="4"/>
        <v>5</v>
      </c>
      <c r="AK14" s="7">
        <f t="shared" si="5"/>
        <v>6</v>
      </c>
      <c r="AL14" s="12">
        <f t="shared" si="9"/>
        <v>37</v>
      </c>
      <c r="AM14" s="14" t="str">
        <f t="shared" si="7"/>
        <v>Barrier</v>
      </c>
      <c r="AN14" s="10" t="s">
        <v>195</v>
      </c>
      <c r="AO14" s="21">
        <v>35.5</v>
      </c>
      <c r="AP14" s="10" t="s">
        <v>162</v>
      </c>
    </row>
    <row r="15" spans="1:42" ht="16">
      <c r="A15" s="59">
        <v>45194</v>
      </c>
      <c r="C15" s="10">
        <v>8302869</v>
      </c>
      <c r="D15" s="10" t="s">
        <v>110</v>
      </c>
      <c r="E15" s="11">
        <v>9</v>
      </c>
      <c r="F15" s="39">
        <v>580438</v>
      </c>
      <c r="G15" s="39">
        <v>6115773</v>
      </c>
      <c r="H15" s="11" t="s">
        <v>101</v>
      </c>
      <c r="I15" s="11" t="s">
        <v>116</v>
      </c>
      <c r="K15" s="11" t="s">
        <v>118</v>
      </c>
      <c r="L15" s="10" t="s">
        <v>96</v>
      </c>
      <c r="M15" s="10" t="s">
        <v>119</v>
      </c>
      <c r="N15" s="21">
        <v>1.5</v>
      </c>
      <c r="O15" s="21">
        <v>99</v>
      </c>
      <c r="P15" s="10" t="s">
        <v>98</v>
      </c>
      <c r="Q15" s="86"/>
      <c r="R15" s="10" t="s">
        <v>98</v>
      </c>
      <c r="S15" s="10" t="s">
        <v>98</v>
      </c>
      <c r="T15" s="87"/>
      <c r="U15" s="21">
        <v>9.9</v>
      </c>
      <c r="V15" s="10">
        <v>0.4</v>
      </c>
      <c r="W15" s="21">
        <v>0.35</v>
      </c>
      <c r="X15" s="10" t="s">
        <v>98</v>
      </c>
      <c r="Y15" s="21">
        <v>7</v>
      </c>
      <c r="Z15" s="21">
        <v>4.5</v>
      </c>
      <c r="AA15" s="10">
        <v>10</v>
      </c>
      <c r="AB15" s="10" t="s">
        <v>98</v>
      </c>
      <c r="AC15" s="10" t="s">
        <v>107</v>
      </c>
      <c r="AD15" s="10" t="s">
        <v>99</v>
      </c>
      <c r="AE15" s="10" t="s">
        <v>100</v>
      </c>
      <c r="AF15" s="20">
        <f t="shared" si="8"/>
        <v>3</v>
      </c>
      <c r="AG15" s="13">
        <f t="shared" si="1"/>
        <v>6</v>
      </c>
      <c r="AH15" s="7">
        <f t="shared" si="2"/>
        <v>10</v>
      </c>
      <c r="AI15" s="7">
        <f t="shared" si="3"/>
        <v>10</v>
      </c>
      <c r="AJ15" s="7">
        <f t="shared" si="4"/>
        <v>10</v>
      </c>
      <c r="AK15" s="7">
        <f t="shared" si="5"/>
        <v>6</v>
      </c>
      <c r="AL15" s="12">
        <f t="shared" si="9"/>
        <v>42</v>
      </c>
      <c r="AM15" s="14" t="str">
        <f t="shared" si="7"/>
        <v>Barrier</v>
      </c>
      <c r="AN15" s="10" t="s">
        <v>195</v>
      </c>
      <c r="AO15" s="21">
        <v>35.5</v>
      </c>
      <c r="AP15" s="10" t="s">
        <v>163</v>
      </c>
    </row>
    <row r="16" spans="1:42" ht="32">
      <c r="A16" s="59">
        <v>45194</v>
      </c>
      <c r="C16" s="10">
        <v>8800020</v>
      </c>
      <c r="D16" s="10" t="s">
        <v>110</v>
      </c>
      <c r="E16" s="11">
        <v>9</v>
      </c>
      <c r="F16" s="39">
        <v>543159</v>
      </c>
      <c r="G16" s="39">
        <v>6096228</v>
      </c>
      <c r="H16" s="11" t="s">
        <v>105</v>
      </c>
      <c r="I16" s="11" t="s">
        <v>120</v>
      </c>
      <c r="K16" s="11" t="s">
        <v>95</v>
      </c>
      <c r="L16" s="10" t="s">
        <v>96</v>
      </c>
      <c r="M16" s="10" t="s">
        <v>97</v>
      </c>
      <c r="N16" s="21">
        <v>1.5</v>
      </c>
      <c r="O16" s="21">
        <v>22</v>
      </c>
      <c r="P16" s="10" t="s">
        <v>98</v>
      </c>
      <c r="Q16" s="86"/>
      <c r="R16" s="10" t="s">
        <v>98</v>
      </c>
      <c r="S16" s="10" t="s">
        <v>98</v>
      </c>
      <c r="T16" s="87"/>
      <c r="U16" s="21">
        <v>4</v>
      </c>
      <c r="V16" s="10">
        <v>0</v>
      </c>
      <c r="W16" s="21">
        <v>0</v>
      </c>
      <c r="X16" s="10" t="s">
        <v>98</v>
      </c>
      <c r="Y16" s="21">
        <v>1</v>
      </c>
      <c r="Z16" s="21">
        <v>1</v>
      </c>
      <c r="AA16" s="10">
        <v>2</v>
      </c>
      <c r="AB16" s="10" t="s">
        <v>98</v>
      </c>
      <c r="AC16" s="10" t="s">
        <v>98</v>
      </c>
      <c r="AD16" s="10" t="s">
        <v>99</v>
      </c>
      <c r="AE16" s="10" t="s">
        <v>104</v>
      </c>
      <c r="AF16" s="20">
        <f t="shared" si="8"/>
        <v>0.66666666666666663</v>
      </c>
      <c r="AG16" s="13">
        <f t="shared" si="1"/>
        <v>3</v>
      </c>
      <c r="AH16" s="7">
        <f t="shared" si="2"/>
        <v>10</v>
      </c>
      <c r="AI16" s="7">
        <f t="shared" si="3"/>
        <v>0</v>
      </c>
      <c r="AJ16" s="7">
        <f t="shared" si="4"/>
        <v>5</v>
      </c>
      <c r="AK16" s="7">
        <f t="shared" si="5"/>
        <v>0</v>
      </c>
      <c r="AL16" s="12">
        <f t="shared" si="9"/>
        <v>18</v>
      </c>
      <c r="AM16" s="14" t="str">
        <f t="shared" si="7"/>
        <v>Potential</v>
      </c>
      <c r="AN16" s="10" t="s">
        <v>196</v>
      </c>
      <c r="AO16" s="21">
        <v>3</v>
      </c>
      <c r="AP16" s="10" t="s">
        <v>164</v>
      </c>
    </row>
    <row r="17" spans="1:42" ht="16">
      <c r="A17" s="59">
        <v>45195</v>
      </c>
      <c r="C17" s="10">
        <v>8800026</v>
      </c>
      <c r="D17" s="10" t="s">
        <v>110</v>
      </c>
      <c r="E17" s="11">
        <v>9</v>
      </c>
      <c r="F17" s="39">
        <v>538520</v>
      </c>
      <c r="G17" s="39">
        <v>6050845</v>
      </c>
      <c r="H17" s="11" t="s">
        <v>121</v>
      </c>
      <c r="I17" s="11" t="s">
        <v>94</v>
      </c>
      <c r="K17" s="11" t="s">
        <v>95</v>
      </c>
      <c r="L17" s="10" t="s">
        <v>96</v>
      </c>
      <c r="M17" s="10" t="s">
        <v>97</v>
      </c>
      <c r="N17" s="21">
        <v>2</v>
      </c>
      <c r="O17" s="21">
        <v>42</v>
      </c>
      <c r="P17" s="10" t="s">
        <v>98</v>
      </c>
      <c r="Q17" s="87"/>
      <c r="R17" s="10" t="s">
        <v>98</v>
      </c>
      <c r="S17" s="10" t="s">
        <v>98</v>
      </c>
      <c r="T17" s="86"/>
      <c r="U17" s="21">
        <v>6</v>
      </c>
      <c r="V17" s="10">
        <v>0.4</v>
      </c>
      <c r="W17" s="21">
        <v>1.2</v>
      </c>
      <c r="X17" s="10" t="s">
        <v>98</v>
      </c>
      <c r="Y17" s="21">
        <v>2.5</v>
      </c>
      <c r="Z17" s="21">
        <v>5.7</v>
      </c>
      <c r="AA17" s="10">
        <v>1</v>
      </c>
      <c r="AB17" s="10" t="s">
        <v>98</v>
      </c>
      <c r="AC17" s="10" t="s">
        <v>107</v>
      </c>
      <c r="AD17" s="10" t="s">
        <v>99</v>
      </c>
      <c r="AE17" s="10" t="s">
        <v>100</v>
      </c>
      <c r="AF17" s="20">
        <f t="shared" si="8"/>
        <v>2.85</v>
      </c>
      <c r="AG17" s="13">
        <f t="shared" si="1"/>
        <v>6</v>
      </c>
      <c r="AH17" s="7">
        <f t="shared" si="2"/>
        <v>10</v>
      </c>
      <c r="AI17" s="7">
        <f t="shared" si="3"/>
        <v>10</v>
      </c>
      <c r="AJ17" s="7">
        <f t="shared" si="4"/>
        <v>5</v>
      </c>
      <c r="AK17" s="7">
        <f t="shared" si="5"/>
        <v>6</v>
      </c>
      <c r="AL17" s="12">
        <f t="shared" si="9"/>
        <v>37</v>
      </c>
      <c r="AM17" s="14" t="str">
        <f t="shared" si="7"/>
        <v>Barrier</v>
      </c>
      <c r="AN17" s="10" t="s">
        <v>195</v>
      </c>
      <c r="AO17" s="21">
        <v>24</v>
      </c>
      <c r="AP17" s="10" t="s">
        <v>165</v>
      </c>
    </row>
    <row r="18" spans="1:42" ht="16">
      <c r="A18" s="59">
        <v>45195</v>
      </c>
      <c r="C18" s="10">
        <v>8800047</v>
      </c>
      <c r="D18" s="10" t="s">
        <v>92</v>
      </c>
      <c r="E18" s="11">
        <v>9</v>
      </c>
      <c r="F18" s="39">
        <v>539072</v>
      </c>
      <c r="G18" s="39">
        <v>6051829</v>
      </c>
      <c r="H18" s="11" t="s">
        <v>121</v>
      </c>
      <c r="I18" s="11" t="s">
        <v>122</v>
      </c>
      <c r="K18" s="11" t="s">
        <v>103</v>
      </c>
      <c r="L18" s="10" t="s">
        <v>96</v>
      </c>
      <c r="M18" s="10" t="s">
        <v>97</v>
      </c>
      <c r="N18" s="21">
        <v>3.1</v>
      </c>
      <c r="O18" s="21">
        <v>22</v>
      </c>
      <c r="P18" s="10" t="s">
        <v>98</v>
      </c>
      <c r="Q18" s="86"/>
      <c r="R18" s="10" t="s">
        <v>98</v>
      </c>
      <c r="S18" s="10" t="s">
        <v>98</v>
      </c>
      <c r="T18" s="87"/>
      <c r="U18" s="21">
        <v>1</v>
      </c>
      <c r="V18" s="10">
        <v>0.2</v>
      </c>
      <c r="W18" s="21">
        <v>0.7</v>
      </c>
      <c r="X18" s="10" t="s">
        <v>98</v>
      </c>
      <c r="Y18" s="21">
        <v>3</v>
      </c>
      <c r="Z18" s="21">
        <v>4.5999999999999996</v>
      </c>
      <c r="AA18" s="10">
        <v>2.5</v>
      </c>
      <c r="AB18" s="10" t="s">
        <v>98</v>
      </c>
      <c r="AC18" s="10" t="s">
        <v>98</v>
      </c>
      <c r="AD18" s="10" t="s">
        <v>99</v>
      </c>
      <c r="AE18" s="10" t="s">
        <v>100</v>
      </c>
      <c r="AF18" s="20">
        <f t="shared" si="8"/>
        <v>1.4838709677419353</v>
      </c>
      <c r="AG18" s="13">
        <f t="shared" si="1"/>
        <v>3</v>
      </c>
      <c r="AH18" s="7">
        <f t="shared" si="2"/>
        <v>10</v>
      </c>
      <c r="AI18" s="7">
        <f t="shared" si="3"/>
        <v>5</v>
      </c>
      <c r="AJ18" s="7">
        <f t="shared" si="4"/>
        <v>10</v>
      </c>
      <c r="AK18" s="7">
        <f t="shared" si="5"/>
        <v>6</v>
      </c>
      <c r="AL18" s="12">
        <f t="shared" si="9"/>
        <v>34</v>
      </c>
      <c r="AM18" s="14" t="str">
        <f t="shared" si="7"/>
        <v>Barrier</v>
      </c>
      <c r="AN18" s="10" t="s">
        <v>195</v>
      </c>
      <c r="AO18" s="21">
        <v>15</v>
      </c>
      <c r="AP18" s="10" t="s">
        <v>166</v>
      </c>
    </row>
    <row r="19" spans="1:42" ht="16">
      <c r="A19" s="59">
        <v>45195</v>
      </c>
      <c r="C19" s="10">
        <v>8800056</v>
      </c>
      <c r="D19" s="10" t="s">
        <v>92</v>
      </c>
      <c r="E19" s="11">
        <v>9</v>
      </c>
      <c r="F19" s="39">
        <v>537940</v>
      </c>
      <c r="G19" s="39">
        <v>6048485</v>
      </c>
      <c r="H19" s="11" t="s">
        <v>123</v>
      </c>
      <c r="I19" s="11" t="s">
        <v>94</v>
      </c>
      <c r="J19" s="33"/>
      <c r="K19" s="11" t="s">
        <v>95</v>
      </c>
      <c r="L19" s="10" t="s">
        <v>96</v>
      </c>
      <c r="M19" s="10" t="s">
        <v>97</v>
      </c>
      <c r="N19" s="21">
        <v>1</v>
      </c>
      <c r="O19" s="21">
        <v>24</v>
      </c>
      <c r="P19" s="10" t="s">
        <v>98</v>
      </c>
      <c r="Q19" s="86"/>
      <c r="R19" s="10" t="s">
        <v>98</v>
      </c>
      <c r="S19" s="10" t="s">
        <v>98</v>
      </c>
      <c r="T19" s="87"/>
      <c r="U19" s="21">
        <v>5</v>
      </c>
      <c r="V19" s="10">
        <v>1.6</v>
      </c>
      <c r="W19" s="21">
        <v>0.5</v>
      </c>
      <c r="X19" s="10" t="s">
        <v>98</v>
      </c>
      <c r="Y19" s="21">
        <v>4</v>
      </c>
      <c r="Z19" s="21">
        <v>2.1</v>
      </c>
      <c r="AA19" s="10">
        <v>5</v>
      </c>
      <c r="AB19" s="10" t="s">
        <v>98</v>
      </c>
      <c r="AC19" s="10" t="s">
        <v>98</v>
      </c>
      <c r="AD19" s="10" t="s">
        <v>99</v>
      </c>
      <c r="AE19" s="10" t="s">
        <v>108</v>
      </c>
      <c r="AF19" s="20">
        <f t="shared" si="8"/>
        <v>2.1</v>
      </c>
      <c r="AG19" s="13">
        <f t="shared" si="1"/>
        <v>3</v>
      </c>
      <c r="AH19" s="7">
        <f t="shared" si="2"/>
        <v>10</v>
      </c>
      <c r="AI19" s="7">
        <f t="shared" si="3"/>
        <v>10</v>
      </c>
      <c r="AJ19" s="7">
        <f t="shared" si="4"/>
        <v>10</v>
      </c>
      <c r="AK19" s="7">
        <f t="shared" si="5"/>
        <v>6</v>
      </c>
      <c r="AL19" s="12">
        <f t="shared" si="9"/>
        <v>39</v>
      </c>
      <c r="AM19" s="14" t="str">
        <f t="shared" si="7"/>
        <v>Barrier</v>
      </c>
      <c r="AN19" s="10" t="s">
        <v>195</v>
      </c>
      <c r="AO19" s="21">
        <v>21</v>
      </c>
      <c r="AP19" s="10" t="s">
        <v>167</v>
      </c>
    </row>
    <row r="20" spans="1:42" ht="16">
      <c r="A20" s="59">
        <v>45195</v>
      </c>
      <c r="C20" s="10">
        <v>8800070</v>
      </c>
      <c r="D20" s="10" t="s">
        <v>110</v>
      </c>
      <c r="E20" s="11">
        <v>9</v>
      </c>
      <c r="F20" s="39">
        <v>536437</v>
      </c>
      <c r="G20" s="39">
        <v>6046473</v>
      </c>
      <c r="H20" s="10" t="s">
        <v>124</v>
      </c>
      <c r="I20" s="11" t="s">
        <v>94</v>
      </c>
      <c r="J20" s="33"/>
      <c r="K20" s="11" t="s">
        <v>95</v>
      </c>
      <c r="L20" s="10" t="s">
        <v>96</v>
      </c>
      <c r="M20" s="10" t="s">
        <v>97</v>
      </c>
      <c r="N20" s="21">
        <v>2.5</v>
      </c>
      <c r="O20" s="21">
        <v>24</v>
      </c>
      <c r="P20" s="10" t="s">
        <v>98</v>
      </c>
      <c r="Q20" s="86"/>
      <c r="R20" s="10" t="s">
        <v>98</v>
      </c>
      <c r="S20" s="10" t="s">
        <v>98</v>
      </c>
      <c r="T20" s="86"/>
      <c r="U20" s="10">
        <v>1</v>
      </c>
      <c r="V20" s="10">
        <v>1.6</v>
      </c>
      <c r="W20" s="10">
        <v>1.4</v>
      </c>
      <c r="X20" s="10" t="s">
        <v>107</v>
      </c>
      <c r="Y20" s="10">
        <v>1.5</v>
      </c>
      <c r="Z20" s="10">
        <v>5.6</v>
      </c>
      <c r="AA20" s="10">
        <v>6.5</v>
      </c>
      <c r="AB20" s="10" t="s">
        <v>98</v>
      </c>
      <c r="AC20" s="10" t="s">
        <v>98</v>
      </c>
      <c r="AD20" s="10" t="s">
        <v>99</v>
      </c>
      <c r="AE20" s="10" t="s">
        <v>100</v>
      </c>
      <c r="AF20" s="20">
        <f t="shared" si="8"/>
        <v>2.2399999999999998</v>
      </c>
      <c r="AG20" s="13">
        <f t="shared" si="1"/>
        <v>3</v>
      </c>
      <c r="AH20" s="7">
        <f t="shared" si="2"/>
        <v>10</v>
      </c>
      <c r="AI20" s="7">
        <f t="shared" si="3"/>
        <v>10</v>
      </c>
      <c r="AJ20" s="7">
        <f t="shared" si="4"/>
        <v>5</v>
      </c>
      <c r="AK20" s="7">
        <f t="shared" si="5"/>
        <v>6</v>
      </c>
      <c r="AL20" s="12">
        <f t="shared" si="9"/>
        <v>34</v>
      </c>
      <c r="AM20" s="14" t="str">
        <f t="shared" si="7"/>
        <v>Barrier</v>
      </c>
      <c r="AN20" s="10" t="s">
        <v>195</v>
      </c>
      <c r="AO20" s="10">
        <v>15</v>
      </c>
      <c r="AP20" s="10" t="s">
        <v>168</v>
      </c>
    </row>
    <row r="21" spans="1:42">
      <c r="A21" s="59">
        <v>45194</v>
      </c>
      <c r="C21" s="10">
        <v>8800072</v>
      </c>
      <c r="D21" s="10" t="s">
        <v>92</v>
      </c>
      <c r="E21" s="10">
        <v>9</v>
      </c>
      <c r="F21" s="21">
        <v>547000</v>
      </c>
      <c r="G21" s="21">
        <v>6100104</v>
      </c>
      <c r="H21" s="10" t="s">
        <v>125</v>
      </c>
      <c r="I21" s="10" t="s">
        <v>94</v>
      </c>
      <c r="J21" s="33"/>
      <c r="K21" s="10" t="s">
        <v>95</v>
      </c>
      <c r="L21" s="10" t="s">
        <v>96</v>
      </c>
      <c r="M21" s="10" t="s">
        <v>112</v>
      </c>
      <c r="N21" s="21">
        <v>4.8</v>
      </c>
      <c r="O21" s="21">
        <v>22</v>
      </c>
      <c r="P21" s="10" t="s">
        <v>98</v>
      </c>
      <c r="Q21" s="87"/>
      <c r="R21" s="10" t="s">
        <v>98</v>
      </c>
      <c r="S21" s="10" t="s">
        <v>98</v>
      </c>
      <c r="T21" s="87"/>
      <c r="U21" s="21">
        <v>0.2</v>
      </c>
      <c r="V21" s="10">
        <v>0.8</v>
      </c>
      <c r="W21" s="21">
        <v>0.8</v>
      </c>
      <c r="X21" s="10" t="s">
        <v>98</v>
      </c>
      <c r="Y21" s="21">
        <v>3</v>
      </c>
      <c r="Z21" s="21">
        <v>6.4</v>
      </c>
      <c r="AA21" s="10">
        <v>6.5</v>
      </c>
      <c r="AB21" s="10" t="s">
        <v>98</v>
      </c>
      <c r="AC21" s="10" t="s">
        <v>107</v>
      </c>
      <c r="AD21" s="10" t="s">
        <v>126</v>
      </c>
      <c r="AE21" s="10" t="s">
        <v>108</v>
      </c>
      <c r="AF21" s="20">
        <f t="shared" si="8"/>
        <v>1.3333333333333335</v>
      </c>
      <c r="AG21" s="13">
        <f t="shared" si="1"/>
        <v>3</v>
      </c>
      <c r="AH21" s="7">
        <f t="shared" si="2"/>
        <v>10</v>
      </c>
      <c r="AI21" s="7">
        <f t="shared" si="3"/>
        <v>10</v>
      </c>
      <c r="AJ21" s="7">
        <f t="shared" si="4"/>
        <v>10</v>
      </c>
      <c r="AK21" s="7">
        <f t="shared" si="5"/>
        <v>6</v>
      </c>
      <c r="AL21" s="12">
        <f t="shared" si="9"/>
        <v>39</v>
      </c>
      <c r="AM21" s="14" t="str">
        <f t="shared" si="7"/>
        <v>Barrier</v>
      </c>
      <c r="AN21" s="10" t="s">
        <v>195</v>
      </c>
      <c r="AO21" s="21">
        <v>15</v>
      </c>
      <c r="AP21" s="10" t="s">
        <v>169</v>
      </c>
    </row>
    <row r="22" spans="1:42" ht="16">
      <c r="A22" s="59">
        <v>45195</v>
      </c>
      <c r="C22" s="10">
        <v>8800076</v>
      </c>
      <c r="D22" s="10" t="s">
        <v>92</v>
      </c>
      <c r="E22" s="11">
        <v>9</v>
      </c>
      <c r="F22" s="39">
        <v>538964</v>
      </c>
      <c r="G22" s="39">
        <v>6089976</v>
      </c>
      <c r="H22" s="11" t="s">
        <v>127</v>
      </c>
      <c r="I22" s="11" t="s">
        <v>94</v>
      </c>
      <c r="K22" s="11" t="s">
        <v>95</v>
      </c>
      <c r="L22" s="10" t="s">
        <v>96</v>
      </c>
      <c r="M22" s="10" t="s">
        <v>97</v>
      </c>
      <c r="N22" s="21">
        <v>5</v>
      </c>
      <c r="O22" s="21">
        <v>34</v>
      </c>
      <c r="P22" s="10" t="s">
        <v>98</v>
      </c>
      <c r="Q22" s="87"/>
      <c r="R22" s="10" t="s">
        <v>98</v>
      </c>
      <c r="S22" s="10" t="s">
        <v>98</v>
      </c>
      <c r="T22" s="87"/>
      <c r="U22" s="21">
        <v>8</v>
      </c>
      <c r="V22" s="10">
        <v>0</v>
      </c>
      <c r="W22" s="21">
        <v>0.3</v>
      </c>
      <c r="X22" s="10" t="s">
        <v>98</v>
      </c>
      <c r="Y22" s="21">
        <v>6</v>
      </c>
      <c r="Z22" s="21">
        <v>6.8</v>
      </c>
      <c r="AA22" s="10">
        <v>5</v>
      </c>
      <c r="AB22" s="10" t="s">
        <v>98</v>
      </c>
      <c r="AC22" s="10" t="s">
        <v>98</v>
      </c>
      <c r="AD22" s="10" t="s">
        <v>99</v>
      </c>
      <c r="AE22" s="10" t="s">
        <v>100</v>
      </c>
      <c r="AF22" s="20">
        <f t="shared" si="8"/>
        <v>1.3599999999999999</v>
      </c>
      <c r="AG22" s="13">
        <f t="shared" si="1"/>
        <v>6</v>
      </c>
      <c r="AH22" s="7">
        <f t="shared" si="2"/>
        <v>10</v>
      </c>
      <c r="AI22" s="7">
        <f t="shared" si="3"/>
        <v>0</v>
      </c>
      <c r="AJ22" s="7">
        <f t="shared" si="4"/>
        <v>10</v>
      </c>
      <c r="AK22" s="7">
        <f t="shared" si="5"/>
        <v>6</v>
      </c>
      <c r="AL22" s="12">
        <f t="shared" si="9"/>
        <v>32</v>
      </c>
      <c r="AM22" s="14" t="str">
        <f t="shared" si="7"/>
        <v>Barrier</v>
      </c>
      <c r="AN22" s="10" t="s">
        <v>195</v>
      </c>
      <c r="AO22" s="21">
        <v>30</v>
      </c>
      <c r="AP22" s="10" t="s">
        <v>170</v>
      </c>
    </row>
    <row r="23" spans="1:42" ht="32">
      <c r="A23" s="59">
        <v>45195</v>
      </c>
      <c r="C23" s="10">
        <v>8800130</v>
      </c>
      <c r="D23" s="10" t="s">
        <v>92</v>
      </c>
      <c r="E23" s="11">
        <v>9</v>
      </c>
      <c r="F23" s="39">
        <v>541520</v>
      </c>
      <c r="G23" s="39">
        <v>6058092</v>
      </c>
      <c r="H23" s="11" t="s">
        <v>105</v>
      </c>
      <c r="I23" s="11" t="s">
        <v>94</v>
      </c>
      <c r="K23" s="11" t="s">
        <v>95</v>
      </c>
      <c r="L23" s="10" t="s">
        <v>96</v>
      </c>
      <c r="M23" s="10" t="s">
        <v>97</v>
      </c>
      <c r="N23" s="21">
        <v>0.9</v>
      </c>
      <c r="O23" s="21">
        <v>42</v>
      </c>
      <c r="P23" s="10" t="s">
        <v>98</v>
      </c>
      <c r="Q23" s="87"/>
      <c r="R23" s="10" t="s">
        <v>98</v>
      </c>
      <c r="S23" s="10" t="s">
        <v>98</v>
      </c>
      <c r="T23" s="87"/>
      <c r="U23" s="21">
        <v>8</v>
      </c>
      <c r="V23" s="10">
        <v>1</v>
      </c>
      <c r="W23" s="21">
        <v>0</v>
      </c>
      <c r="X23" s="10" t="s">
        <v>107</v>
      </c>
      <c r="Y23" s="21">
        <v>1</v>
      </c>
      <c r="Z23" s="21">
        <v>1.6</v>
      </c>
      <c r="AA23" s="10">
        <v>1</v>
      </c>
      <c r="AB23" s="10" t="s">
        <v>98</v>
      </c>
      <c r="AC23" s="10" t="s">
        <v>98</v>
      </c>
      <c r="AD23" s="10" t="s">
        <v>99</v>
      </c>
      <c r="AE23" s="10" t="s">
        <v>104</v>
      </c>
      <c r="AF23" s="20">
        <f t="shared" si="8"/>
        <v>1.7777777777777779</v>
      </c>
      <c r="AG23" s="13">
        <f t="shared" si="1"/>
        <v>6</v>
      </c>
      <c r="AH23" s="7">
        <f t="shared" si="2"/>
        <v>10</v>
      </c>
      <c r="AI23" s="7">
        <f t="shared" si="3"/>
        <v>10</v>
      </c>
      <c r="AJ23" s="7">
        <f t="shared" si="4"/>
        <v>5</v>
      </c>
      <c r="AK23" s="7">
        <f t="shared" si="5"/>
        <v>6</v>
      </c>
      <c r="AL23" s="12">
        <f t="shared" si="9"/>
        <v>37</v>
      </c>
      <c r="AM23" s="14" t="str">
        <f t="shared" si="7"/>
        <v>Barrier</v>
      </c>
      <c r="AN23" s="10" t="s">
        <v>196</v>
      </c>
      <c r="AO23" s="21">
        <v>3</v>
      </c>
      <c r="AP23" s="10" t="s">
        <v>171</v>
      </c>
    </row>
    <row r="24" spans="1:42" ht="32">
      <c r="A24" s="59">
        <v>45195</v>
      </c>
      <c r="C24" s="10">
        <v>8800140</v>
      </c>
      <c r="D24" s="10" t="s">
        <v>110</v>
      </c>
      <c r="E24" s="11">
        <v>9</v>
      </c>
      <c r="F24" s="39">
        <v>545410</v>
      </c>
      <c r="G24" s="39">
        <v>6075546</v>
      </c>
      <c r="H24" s="11" t="s">
        <v>125</v>
      </c>
      <c r="I24" s="11" t="s">
        <v>94</v>
      </c>
      <c r="K24" s="11" t="s">
        <v>95</v>
      </c>
      <c r="L24" s="10" t="s">
        <v>96</v>
      </c>
      <c r="M24" s="10" t="s">
        <v>97</v>
      </c>
      <c r="N24" s="21">
        <v>1.5</v>
      </c>
      <c r="O24" s="21">
        <v>24</v>
      </c>
      <c r="P24" s="10" t="s">
        <v>98</v>
      </c>
      <c r="Q24" s="87"/>
      <c r="R24" s="10" t="s">
        <v>98</v>
      </c>
      <c r="S24" s="10" t="s">
        <v>98</v>
      </c>
      <c r="T24" s="87"/>
      <c r="U24" s="21">
        <v>1.7</v>
      </c>
      <c r="V24" s="10">
        <v>0</v>
      </c>
      <c r="W24" s="21">
        <v>0</v>
      </c>
      <c r="X24" s="10" t="s">
        <v>98</v>
      </c>
      <c r="Y24" s="21">
        <v>0</v>
      </c>
      <c r="Z24" s="21">
        <v>8</v>
      </c>
      <c r="AA24" s="10">
        <v>0</v>
      </c>
      <c r="AB24" s="10" t="s">
        <v>107</v>
      </c>
      <c r="AC24" s="10" t="s">
        <v>98</v>
      </c>
      <c r="AD24" s="10" t="s">
        <v>99</v>
      </c>
      <c r="AE24" s="10" t="s">
        <v>104</v>
      </c>
      <c r="AF24" s="20">
        <f t="shared" si="8"/>
        <v>5.333333333333333</v>
      </c>
      <c r="AG24" s="13">
        <f t="shared" si="1"/>
        <v>3</v>
      </c>
      <c r="AH24" s="7">
        <f t="shared" si="2"/>
        <v>10</v>
      </c>
      <c r="AI24" s="7">
        <f t="shared" si="3"/>
        <v>0</v>
      </c>
      <c r="AJ24" s="7">
        <f t="shared" si="4"/>
        <v>0</v>
      </c>
      <c r="AK24" s="7">
        <f t="shared" si="5"/>
        <v>6</v>
      </c>
      <c r="AL24" s="12">
        <f t="shared" si="9"/>
        <v>19</v>
      </c>
      <c r="AM24" s="14" t="str">
        <f t="shared" si="7"/>
        <v>Potential</v>
      </c>
      <c r="AN24" s="10" t="s">
        <v>195</v>
      </c>
      <c r="AO24" s="21">
        <v>15</v>
      </c>
      <c r="AP24" s="10" t="s">
        <v>172</v>
      </c>
    </row>
    <row r="25" spans="1:42" ht="32">
      <c r="A25" s="59">
        <v>45195</v>
      </c>
      <c r="C25" s="10">
        <v>8800144</v>
      </c>
      <c r="D25" s="10" t="s">
        <v>92</v>
      </c>
      <c r="E25" s="11">
        <v>9</v>
      </c>
      <c r="F25" s="39">
        <v>542401</v>
      </c>
      <c r="G25" s="39">
        <v>6078904</v>
      </c>
      <c r="H25" s="11" t="s">
        <v>105</v>
      </c>
      <c r="I25" s="11" t="s">
        <v>94</v>
      </c>
      <c r="K25" s="11" t="s">
        <v>95</v>
      </c>
      <c r="L25" s="10" t="s">
        <v>96</v>
      </c>
      <c r="M25" s="10" t="s">
        <v>97</v>
      </c>
      <c r="N25" s="21">
        <v>0.6</v>
      </c>
      <c r="O25" s="21">
        <v>18</v>
      </c>
      <c r="P25" s="10" t="s">
        <v>98</v>
      </c>
      <c r="Q25" s="87"/>
      <c r="R25" s="10" t="s">
        <v>98</v>
      </c>
      <c r="S25" s="10" t="s">
        <v>98</v>
      </c>
      <c r="T25" s="87"/>
      <c r="U25" s="21">
        <v>1</v>
      </c>
      <c r="V25" s="10">
        <v>0</v>
      </c>
      <c r="W25" s="21">
        <v>0</v>
      </c>
      <c r="X25" s="10" t="s">
        <v>98</v>
      </c>
      <c r="Y25" s="21">
        <v>2</v>
      </c>
      <c r="Z25" s="21">
        <v>0.6</v>
      </c>
      <c r="AA25" s="10">
        <v>2</v>
      </c>
      <c r="AB25" s="10" t="s">
        <v>98</v>
      </c>
      <c r="AC25" s="10" t="s">
        <v>98</v>
      </c>
      <c r="AD25" s="10" t="s">
        <v>99</v>
      </c>
      <c r="AE25" s="10" t="s">
        <v>104</v>
      </c>
      <c r="AF25" s="20">
        <f t="shared" si="8"/>
        <v>1</v>
      </c>
      <c r="AG25" s="13">
        <f t="shared" si="1"/>
        <v>3</v>
      </c>
      <c r="AH25" s="7">
        <f t="shared" si="2"/>
        <v>10</v>
      </c>
      <c r="AI25" s="7">
        <f t="shared" si="3"/>
        <v>0</v>
      </c>
      <c r="AJ25" s="7">
        <f t="shared" si="4"/>
        <v>5</v>
      </c>
      <c r="AK25" s="7">
        <f t="shared" si="5"/>
        <v>3</v>
      </c>
      <c r="AL25" s="12">
        <f t="shared" si="9"/>
        <v>21</v>
      </c>
      <c r="AM25" s="14" t="str">
        <f t="shared" si="7"/>
        <v>Barrier</v>
      </c>
      <c r="AN25" s="10" t="s">
        <v>196</v>
      </c>
      <c r="AO25" s="21">
        <v>3</v>
      </c>
      <c r="AP25" s="10" t="s">
        <v>173</v>
      </c>
    </row>
    <row r="26" spans="1:42" ht="32">
      <c r="A26" s="59">
        <v>45195</v>
      </c>
      <c r="C26" s="10">
        <v>8800149</v>
      </c>
      <c r="D26" s="10" t="s">
        <v>110</v>
      </c>
      <c r="E26" s="11">
        <v>9</v>
      </c>
      <c r="F26" s="39">
        <v>539719</v>
      </c>
      <c r="G26" s="39">
        <v>6083274</v>
      </c>
      <c r="H26" s="11" t="s">
        <v>105</v>
      </c>
      <c r="I26" s="11" t="s">
        <v>94</v>
      </c>
      <c r="K26" s="11" t="s">
        <v>95</v>
      </c>
      <c r="L26" s="10" t="s">
        <v>96</v>
      </c>
      <c r="M26" s="10" t="s">
        <v>97</v>
      </c>
      <c r="N26" s="21">
        <v>3.5</v>
      </c>
      <c r="O26" s="21">
        <v>35</v>
      </c>
      <c r="P26" s="10" t="s">
        <v>98</v>
      </c>
      <c r="Q26" s="87"/>
      <c r="R26" s="10" t="s">
        <v>98</v>
      </c>
      <c r="S26" s="10" t="s">
        <v>98</v>
      </c>
      <c r="T26" s="87"/>
      <c r="U26" s="21">
        <v>4</v>
      </c>
      <c r="V26" s="10">
        <v>0</v>
      </c>
      <c r="W26" s="21">
        <v>1.4</v>
      </c>
      <c r="X26" s="10" t="s">
        <v>98</v>
      </c>
      <c r="Y26" s="21">
        <v>14</v>
      </c>
      <c r="Z26" s="21">
        <v>10</v>
      </c>
      <c r="AA26" s="10">
        <v>10</v>
      </c>
      <c r="AB26" s="10" t="s">
        <v>98</v>
      </c>
      <c r="AC26" s="10" t="s">
        <v>98</v>
      </c>
      <c r="AD26" s="10" t="s">
        <v>128</v>
      </c>
      <c r="AE26" s="10" t="s">
        <v>108</v>
      </c>
      <c r="AF26" s="20">
        <f t="shared" si="8"/>
        <v>2.8571428571428572</v>
      </c>
      <c r="AG26" s="13">
        <f t="shared" si="1"/>
        <v>6</v>
      </c>
      <c r="AH26" s="7">
        <f t="shared" si="2"/>
        <v>10</v>
      </c>
      <c r="AI26" s="7">
        <f t="shared" si="3"/>
        <v>0</v>
      </c>
      <c r="AJ26" s="7">
        <f t="shared" si="4"/>
        <v>10</v>
      </c>
      <c r="AK26" s="7">
        <f t="shared" si="5"/>
        <v>6</v>
      </c>
      <c r="AL26" s="12">
        <f t="shared" si="9"/>
        <v>32</v>
      </c>
      <c r="AM26" s="14" t="str">
        <f t="shared" si="7"/>
        <v>Barrier</v>
      </c>
      <c r="AN26" s="10" t="s">
        <v>195</v>
      </c>
      <c r="AO26" s="21">
        <v>18</v>
      </c>
      <c r="AP26" s="10" t="s">
        <v>174</v>
      </c>
    </row>
    <row r="27" spans="1:42" ht="32">
      <c r="A27" s="59">
        <v>45195</v>
      </c>
      <c r="C27" s="10">
        <v>8801343</v>
      </c>
      <c r="D27" s="10" t="s">
        <v>110</v>
      </c>
      <c r="E27" s="11">
        <v>9</v>
      </c>
      <c r="F27" s="39">
        <v>547458</v>
      </c>
      <c r="G27" s="39">
        <v>6066323</v>
      </c>
      <c r="H27" s="11" t="s">
        <v>105</v>
      </c>
      <c r="I27" s="11" t="s">
        <v>94</v>
      </c>
      <c r="K27" s="11" t="s">
        <v>95</v>
      </c>
      <c r="L27" s="10" t="s">
        <v>96</v>
      </c>
      <c r="M27" s="10" t="s">
        <v>97</v>
      </c>
      <c r="N27" s="21">
        <v>0.6</v>
      </c>
      <c r="O27" s="21">
        <v>20</v>
      </c>
      <c r="P27" s="10" t="s">
        <v>107</v>
      </c>
      <c r="Q27" s="21">
        <v>0.2</v>
      </c>
      <c r="R27" s="10" t="s">
        <v>107</v>
      </c>
      <c r="S27" s="10" t="s">
        <v>107</v>
      </c>
      <c r="T27" s="21">
        <v>50</v>
      </c>
      <c r="U27" s="21">
        <v>1.5</v>
      </c>
      <c r="V27" s="10">
        <v>0</v>
      </c>
      <c r="W27" s="21">
        <v>0.25</v>
      </c>
      <c r="X27" s="10" t="s">
        <v>107</v>
      </c>
      <c r="Y27" s="21">
        <v>1</v>
      </c>
      <c r="Z27" s="21">
        <v>1.7</v>
      </c>
      <c r="AA27" s="10">
        <v>1</v>
      </c>
      <c r="AB27" s="10" t="s">
        <v>107</v>
      </c>
      <c r="AC27" s="10" t="s">
        <v>98</v>
      </c>
      <c r="AD27" s="10" t="s">
        <v>99</v>
      </c>
      <c r="AE27" s="10" t="s">
        <v>104</v>
      </c>
      <c r="AF27" s="20">
        <f t="shared" si="8"/>
        <v>2.8333333333333335</v>
      </c>
      <c r="AG27" s="13">
        <f t="shared" si="1"/>
        <v>3</v>
      </c>
      <c r="AH27" s="7">
        <f t="shared" si="2"/>
        <v>5</v>
      </c>
      <c r="AI27" s="7">
        <f t="shared" si="3"/>
        <v>0</v>
      </c>
      <c r="AJ27" s="7">
        <f t="shared" si="4"/>
        <v>5</v>
      </c>
      <c r="AK27" s="7">
        <f t="shared" si="5"/>
        <v>6</v>
      </c>
      <c r="AL27" s="12">
        <f t="shared" si="9"/>
        <v>19</v>
      </c>
      <c r="AM27" s="14" t="str">
        <f t="shared" si="7"/>
        <v>Potential</v>
      </c>
      <c r="AN27" s="10" t="s">
        <v>196</v>
      </c>
      <c r="AO27" s="21">
        <v>3</v>
      </c>
      <c r="AP27" s="10" t="s">
        <v>175</v>
      </c>
    </row>
    <row r="28" spans="1:42" ht="32">
      <c r="A28" s="59">
        <v>45195</v>
      </c>
      <c r="C28" s="10">
        <v>8801347</v>
      </c>
      <c r="D28" s="10" t="s">
        <v>110</v>
      </c>
      <c r="E28" s="11">
        <v>9</v>
      </c>
      <c r="F28" s="39">
        <v>547255</v>
      </c>
      <c r="G28" s="39">
        <v>6066045</v>
      </c>
      <c r="H28" s="11" t="s">
        <v>105</v>
      </c>
      <c r="I28" s="11" t="s">
        <v>94</v>
      </c>
      <c r="K28" s="11" t="s">
        <v>95</v>
      </c>
      <c r="L28" s="10" t="s">
        <v>96</v>
      </c>
      <c r="M28" s="10" t="s">
        <v>97</v>
      </c>
      <c r="N28" s="21">
        <v>1</v>
      </c>
      <c r="O28" s="21">
        <v>27</v>
      </c>
      <c r="P28" s="10" t="s">
        <v>107</v>
      </c>
      <c r="Q28" s="21">
        <v>0.4</v>
      </c>
      <c r="R28" s="10" t="s">
        <v>107</v>
      </c>
      <c r="S28" s="10" t="s">
        <v>107</v>
      </c>
      <c r="T28" s="21">
        <v>70</v>
      </c>
      <c r="U28" s="21">
        <v>3.7</v>
      </c>
      <c r="V28" s="10">
        <v>0</v>
      </c>
      <c r="W28" s="21">
        <v>0.25</v>
      </c>
      <c r="X28" s="10" t="s">
        <v>107</v>
      </c>
      <c r="Y28" s="21">
        <v>1.5</v>
      </c>
      <c r="Z28" s="21">
        <v>2.8</v>
      </c>
      <c r="AA28" s="10">
        <v>2</v>
      </c>
      <c r="AB28" s="10" t="s">
        <v>107</v>
      </c>
      <c r="AC28" s="10" t="s">
        <v>107</v>
      </c>
      <c r="AD28" s="10" t="s">
        <v>99</v>
      </c>
      <c r="AE28" s="10" t="s">
        <v>108</v>
      </c>
      <c r="AF28" s="20">
        <f t="shared" si="8"/>
        <v>2.8</v>
      </c>
      <c r="AG28" s="13">
        <f t="shared" si="1"/>
        <v>3</v>
      </c>
      <c r="AH28" s="7">
        <f t="shared" si="2"/>
        <v>0</v>
      </c>
      <c r="AI28" s="7">
        <f t="shared" si="3"/>
        <v>0</v>
      </c>
      <c r="AJ28" s="7">
        <f t="shared" si="4"/>
        <v>5</v>
      </c>
      <c r="AK28" s="7">
        <f t="shared" si="5"/>
        <v>6</v>
      </c>
      <c r="AL28" s="12">
        <f t="shared" si="9"/>
        <v>14</v>
      </c>
      <c r="AM28" s="14" t="str">
        <f t="shared" si="7"/>
        <v>Passable</v>
      </c>
      <c r="AP28" s="10" t="s">
        <v>176</v>
      </c>
    </row>
    <row r="29" spans="1:42" ht="32">
      <c r="A29" s="59">
        <v>45195</v>
      </c>
      <c r="C29" s="10">
        <v>8801379</v>
      </c>
      <c r="D29" s="10" t="s">
        <v>92</v>
      </c>
      <c r="E29" s="11">
        <v>9</v>
      </c>
      <c r="F29" s="39">
        <v>538709</v>
      </c>
      <c r="G29" s="39">
        <v>6054566</v>
      </c>
      <c r="H29" s="11" t="s">
        <v>105</v>
      </c>
      <c r="I29" s="11" t="s">
        <v>94</v>
      </c>
      <c r="K29" s="11" t="s">
        <v>95</v>
      </c>
      <c r="L29" s="10" t="s">
        <v>96</v>
      </c>
      <c r="M29" s="10" t="s">
        <v>97</v>
      </c>
      <c r="N29" s="21">
        <v>1.5</v>
      </c>
      <c r="O29" s="21">
        <v>30</v>
      </c>
      <c r="P29" s="10" t="s">
        <v>98</v>
      </c>
      <c r="Q29" s="87"/>
      <c r="R29" s="10" t="s">
        <v>98</v>
      </c>
      <c r="S29" s="10" t="s">
        <v>98</v>
      </c>
      <c r="T29" s="87"/>
      <c r="U29" s="21">
        <v>4</v>
      </c>
      <c r="V29" s="10">
        <v>0.2</v>
      </c>
      <c r="W29" s="21">
        <v>0</v>
      </c>
      <c r="X29" s="10" t="s">
        <v>98</v>
      </c>
      <c r="Y29" s="21">
        <v>1</v>
      </c>
      <c r="Z29" s="21">
        <v>6.8</v>
      </c>
      <c r="AA29" s="10">
        <v>1</v>
      </c>
      <c r="AB29" s="10" t="s">
        <v>98</v>
      </c>
      <c r="AC29" s="10" t="s">
        <v>98</v>
      </c>
      <c r="AD29" s="10" t="s">
        <v>99</v>
      </c>
      <c r="AE29" s="10" t="s">
        <v>104</v>
      </c>
      <c r="AF29" s="20">
        <f t="shared" si="8"/>
        <v>4.5333333333333332</v>
      </c>
      <c r="AG29" s="13">
        <f t="shared" si="1"/>
        <v>6</v>
      </c>
      <c r="AH29" s="7">
        <f t="shared" si="2"/>
        <v>10</v>
      </c>
      <c r="AI29" s="7">
        <f t="shared" si="3"/>
        <v>5</v>
      </c>
      <c r="AJ29" s="7">
        <f t="shared" si="4"/>
        <v>5</v>
      </c>
      <c r="AK29" s="7">
        <f t="shared" si="5"/>
        <v>6</v>
      </c>
      <c r="AL29" s="12">
        <f t="shared" si="9"/>
        <v>32</v>
      </c>
      <c r="AM29" s="14" t="str">
        <f t="shared" si="7"/>
        <v>Barrier</v>
      </c>
      <c r="AN29" s="10" t="s">
        <v>195</v>
      </c>
      <c r="AO29" s="21">
        <v>18</v>
      </c>
      <c r="AP29" s="10" t="s">
        <v>177</v>
      </c>
    </row>
    <row r="30" spans="1:42" ht="32">
      <c r="A30" s="59">
        <v>45195</v>
      </c>
      <c r="C30" s="10">
        <v>8801406</v>
      </c>
      <c r="D30" s="10" t="s">
        <v>110</v>
      </c>
      <c r="E30" s="11">
        <v>9</v>
      </c>
      <c r="F30" s="39">
        <v>547750</v>
      </c>
      <c r="G30" s="39">
        <v>6068488</v>
      </c>
      <c r="H30" s="11" t="s">
        <v>125</v>
      </c>
      <c r="I30" s="11" t="s">
        <v>94</v>
      </c>
      <c r="K30" s="11" t="s">
        <v>95</v>
      </c>
      <c r="L30" s="10" t="s">
        <v>96</v>
      </c>
      <c r="M30" s="10" t="s">
        <v>97</v>
      </c>
      <c r="N30" s="21">
        <v>0.9</v>
      </c>
      <c r="O30" s="21">
        <v>21</v>
      </c>
      <c r="P30" s="10" t="s">
        <v>98</v>
      </c>
      <c r="Q30" s="87"/>
      <c r="R30" s="10" t="s">
        <v>98</v>
      </c>
      <c r="S30" s="10" t="s">
        <v>98</v>
      </c>
      <c r="T30" s="87"/>
      <c r="U30" s="21">
        <v>2.5</v>
      </c>
      <c r="V30" s="10">
        <v>0.9</v>
      </c>
      <c r="W30" s="21">
        <v>0.2</v>
      </c>
      <c r="X30" s="10" t="s">
        <v>98</v>
      </c>
      <c r="Y30" s="21">
        <v>8</v>
      </c>
      <c r="Z30" s="21">
        <v>1.5</v>
      </c>
      <c r="AA30" s="10">
        <v>8.5</v>
      </c>
      <c r="AB30" s="10" t="s">
        <v>98</v>
      </c>
      <c r="AC30" s="10" t="s">
        <v>98</v>
      </c>
      <c r="AD30" s="10" t="s">
        <v>99</v>
      </c>
      <c r="AE30" s="10" t="s">
        <v>108</v>
      </c>
      <c r="AF30" s="20">
        <f t="shared" si="8"/>
        <v>1.6666666666666665</v>
      </c>
      <c r="AG30" s="13">
        <f t="shared" si="1"/>
        <v>3</v>
      </c>
      <c r="AH30" s="7">
        <f t="shared" si="2"/>
        <v>10</v>
      </c>
      <c r="AI30" s="7">
        <f t="shared" si="3"/>
        <v>10</v>
      </c>
      <c r="AJ30" s="7">
        <f t="shared" si="4"/>
        <v>10</v>
      </c>
      <c r="AK30" s="7">
        <f t="shared" si="5"/>
        <v>6</v>
      </c>
      <c r="AL30" s="12">
        <f t="shared" si="9"/>
        <v>39</v>
      </c>
      <c r="AM30" s="14" t="str">
        <f t="shared" si="7"/>
        <v>Barrier</v>
      </c>
      <c r="AN30" s="10" t="s">
        <v>196</v>
      </c>
      <c r="AO30" s="21">
        <v>3</v>
      </c>
      <c r="AP30" s="10" t="s">
        <v>178</v>
      </c>
    </row>
    <row r="31" spans="1:42" ht="32">
      <c r="A31" s="59">
        <v>45195</v>
      </c>
      <c r="C31" s="10">
        <v>8801409</v>
      </c>
      <c r="D31" s="10" t="s">
        <v>92</v>
      </c>
      <c r="E31" s="11">
        <v>9</v>
      </c>
      <c r="F31" s="39">
        <v>547610</v>
      </c>
      <c r="G31" s="39">
        <v>6069809</v>
      </c>
      <c r="H31" s="11" t="s">
        <v>105</v>
      </c>
      <c r="I31" s="11" t="s">
        <v>94</v>
      </c>
      <c r="K31" s="11" t="s">
        <v>95</v>
      </c>
      <c r="L31" s="10" t="s">
        <v>96</v>
      </c>
      <c r="M31" s="10" t="s">
        <v>97</v>
      </c>
      <c r="N31" s="21">
        <v>1.5</v>
      </c>
      <c r="O31" s="21">
        <v>40</v>
      </c>
      <c r="P31" s="10" t="s">
        <v>98</v>
      </c>
      <c r="Q31" s="87"/>
      <c r="R31" s="10" t="s">
        <v>98</v>
      </c>
      <c r="S31" s="10" t="s">
        <v>98</v>
      </c>
      <c r="T31" s="87"/>
      <c r="U31" s="21">
        <v>3</v>
      </c>
      <c r="V31" s="10">
        <v>2.2000000000000002</v>
      </c>
      <c r="W31" s="21">
        <v>0.3</v>
      </c>
      <c r="X31" s="10" t="s">
        <v>107</v>
      </c>
      <c r="Y31" s="21">
        <v>4</v>
      </c>
      <c r="Z31" s="21">
        <v>2.7</v>
      </c>
      <c r="AA31" s="10">
        <v>18</v>
      </c>
      <c r="AB31" s="10" t="s">
        <v>98</v>
      </c>
      <c r="AC31" s="10" t="s">
        <v>98</v>
      </c>
      <c r="AD31" s="10" t="s">
        <v>99</v>
      </c>
      <c r="AE31" s="10" t="s">
        <v>108</v>
      </c>
      <c r="AF31" s="20">
        <f t="shared" si="8"/>
        <v>1.8</v>
      </c>
      <c r="AG31" s="13">
        <f t="shared" si="1"/>
        <v>6</v>
      </c>
      <c r="AH31" s="7">
        <f t="shared" si="2"/>
        <v>10</v>
      </c>
      <c r="AI31" s="7">
        <f t="shared" si="3"/>
        <v>10</v>
      </c>
      <c r="AJ31" s="7">
        <f t="shared" si="4"/>
        <v>10</v>
      </c>
      <c r="AK31" s="7">
        <f t="shared" si="5"/>
        <v>6</v>
      </c>
      <c r="AL31" s="12">
        <f t="shared" si="9"/>
        <v>42</v>
      </c>
      <c r="AM31" s="14" t="str">
        <f t="shared" si="7"/>
        <v>Barrier</v>
      </c>
      <c r="AN31" s="10" t="s">
        <v>195</v>
      </c>
      <c r="AO31" s="21">
        <v>15</v>
      </c>
      <c r="AP31" s="10" t="s">
        <v>179</v>
      </c>
    </row>
    <row r="32" spans="1:42" ht="80">
      <c r="A32" s="59">
        <v>45195</v>
      </c>
      <c r="C32" s="10">
        <v>8801991</v>
      </c>
      <c r="D32" s="10" t="s">
        <v>110</v>
      </c>
      <c r="E32" s="11">
        <v>9</v>
      </c>
      <c r="F32" s="39">
        <v>536546</v>
      </c>
      <c r="G32" s="39">
        <v>6046289</v>
      </c>
      <c r="H32" s="11" t="s">
        <v>124</v>
      </c>
      <c r="I32" s="11" t="s">
        <v>129</v>
      </c>
      <c r="K32" s="11" t="s">
        <v>130</v>
      </c>
      <c r="L32" s="10" t="s">
        <v>131</v>
      </c>
      <c r="M32" s="10" t="s">
        <v>197</v>
      </c>
      <c r="N32" s="87"/>
      <c r="O32" s="87"/>
      <c r="P32" s="86"/>
      <c r="Q32" s="87"/>
      <c r="R32" s="86"/>
      <c r="S32" s="86"/>
      <c r="T32" s="87"/>
      <c r="U32" s="87"/>
      <c r="V32" s="86"/>
      <c r="W32" s="87"/>
      <c r="X32" s="86"/>
      <c r="Y32" s="87"/>
      <c r="Z32" s="87"/>
      <c r="AA32" s="86"/>
      <c r="AB32" s="10" t="s">
        <v>98</v>
      </c>
      <c r="AC32" s="10" t="s">
        <v>98</v>
      </c>
      <c r="AD32" s="86"/>
      <c r="AE32" s="86"/>
      <c r="AF32" s="20">
        <f t="shared" si="8"/>
        <v>0</v>
      </c>
      <c r="AG32" s="13">
        <f t="shared" si="1"/>
        <v>0</v>
      </c>
      <c r="AH32" s="7">
        <f t="shared" si="2"/>
        <v>0</v>
      </c>
      <c r="AI32" s="7">
        <f t="shared" si="3"/>
        <v>0</v>
      </c>
      <c r="AJ32" s="7">
        <f t="shared" si="4"/>
        <v>0</v>
      </c>
      <c r="AK32" s="7">
        <f t="shared" si="5"/>
        <v>0</v>
      </c>
      <c r="AL32" s="12">
        <f t="shared" si="9"/>
        <v>0</v>
      </c>
      <c r="AM32" s="14" t="str">
        <f t="shared" si="7"/>
        <v>Unknown</v>
      </c>
      <c r="AP32" s="10" t="s">
        <v>180</v>
      </c>
    </row>
    <row r="33" spans="1:42" ht="32">
      <c r="A33" s="59">
        <v>45181</v>
      </c>
      <c r="C33" s="10">
        <v>14000571</v>
      </c>
      <c r="D33" s="10" t="s">
        <v>92</v>
      </c>
      <c r="E33" s="11">
        <v>9</v>
      </c>
      <c r="F33" s="39">
        <v>631703</v>
      </c>
      <c r="G33" s="39">
        <v>6017418</v>
      </c>
      <c r="H33" s="11" t="s">
        <v>132</v>
      </c>
      <c r="I33" s="11" t="s">
        <v>129</v>
      </c>
      <c r="K33" s="11" t="s">
        <v>133</v>
      </c>
      <c r="L33" s="10" t="s">
        <v>96</v>
      </c>
      <c r="M33" s="10" t="s">
        <v>97</v>
      </c>
      <c r="N33" s="21">
        <v>1.6</v>
      </c>
      <c r="O33" s="21">
        <v>18</v>
      </c>
      <c r="P33" s="10" t="s">
        <v>98</v>
      </c>
      <c r="Q33" s="87"/>
      <c r="R33" s="10" t="s">
        <v>98</v>
      </c>
      <c r="S33" s="10" t="s">
        <v>98</v>
      </c>
      <c r="T33" s="87"/>
      <c r="U33" s="21">
        <v>8</v>
      </c>
      <c r="V33" s="10">
        <v>0.7</v>
      </c>
      <c r="W33" s="21">
        <v>0.5</v>
      </c>
      <c r="X33" s="10" t="s">
        <v>98</v>
      </c>
      <c r="Y33" s="21">
        <v>4</v>
      </c>
      <c r="Z33" s="21">
        <v>2.8</v>
      </c>
      <c r="AA33" s="10">
        <v>3</v>
      </c>
      <c r="AB33" s="10" t="s">
        <v>98</v>
      </c>
      <c r="AC33" s="10" t="s">
        <v>107</v>
      </c>
      <c r="AD33" s="10" t="s">
        <v>99</v>
      </c>
      <c r="AE33" s="10" t="s">
        <v>100</v>
      </c>
      <c r="AF33" s="20">
        <f t="shared" si="8"/>
        <v>1.7499999999999998</v>
      </c>
      <c r="AG33" s="13">
        <f t="shared" si="1"/>
        <v>3</v>
      </c>
      <c r="AH33" s="7">
        <f t="shared" si="2"/>
        <v>10</v>
      </c>
      <c r="AI33" s="7">
        <f t="shared" si="3"/>
        <v>10</v>
      </c>
      <c r="AJ33" s="7">
        <f t="shared" si="4"/>
        <v>10</v>
      </c>
      <c r="AK33" s="7">
        <f t="shared" si="5"/>
        <v>6</v>
      </c>
      <c r="AL33" s="12">
        <f t="shared" si="9"/>
        <v>39</v>
      </c>
      <c r="AM33" s="14" t="str">
        <f t="shared" si="7"/>
        <v>Barrier</v>
      </c>
      <c r="AN33" s="10" t="s">
        <v>196</v>
      </c>
      <c r="AO33" s="21">
        <v>4.5</v>
      </c>
      <c r="AP33" s="10" t="s">
        <v>181</v>
      </c>
    </row>
    <row r="34" spans="1:42" ht="32">
      <c r="A34" s="59">
        <v>45181</v>
      </c>
      <c r="C34" s="10">
        <v>14000575</v>
      </c>
      <c r="D34" s="10" t="s">
        <v>92</v>
      </c>
      <c r="E34" s="11">
        <v>9</v>
      </c>
      <c r="F34" s="39">
        <v>636436</v>
      </c>
      <c r="G34" s="39">
        <v>6020756</v>
      </c>
      <c r="H34" s="11" t="s">
        <v>134</v>
      </c>
      <c r="I34" s="11" t="s">
        <v>135</v>
      </c>
      <c r="K34" s="11" t="s">
        <v>133</v>
      </c>
      <c r="L34" s="10" t="s">
        <v>96</v>
      </c>
      <c r="M34" s="10" t="s">
        <v>97</v>
      </c>
      <c r="N34" s="21">
        <v>1.2</v>
      </c>
      <c r="O34" s="21">
        <v>16</v>
      </c>
      <c r="P34" s="10" t="s">
        <v>98</v>
      </c>
      <c r="Q34" s="87"/>
      <c r="R34" s="10" t="s">
        <v>98</v>
      </c>
      <c r="S34" s="10" t="s">
        <v>98</v>
      </c>
      <c r="T34" s="87"/>
      <c r="U34" s="21">
        <v>1.5</v>
      </c>
      <c r="V34" s="10">
        <v>0.2</v>
      </c>
      <c r="W34" s="21">
        <v>0.9</v>
      </c>
      <c r="X34" s="10" t="s">
        <v>98</v>
      </c>
      <c r="Y34" s="21">
        <v>0</v>
      </c>
      <c r="Z34" s="21">
        <v>2.2000000000000002</v>
      </c>
      <c r="AA34" s="10">
        <v>2.5</v>
      </c>
      <c r="AB34" s="10" t="s">
        <v>98</v>
      </c>
      <c r="AC34" s="10" t="s">
        <v>107</v>
      </c>
      <c r="AD34" s="10" t="s">
        <v>99</v>
      </c>
      <c r="AE34" s="10" t="s">
        <v>100</v>
      </c>
      <c r="AF34" s="20">
        <f t="shared" si="8"/>
        <v>1.8333333333333335</v>
      </c>
      <c r="AG34" s="13">
        <f t="shared" si="1"/>
        <v>3</v>
      </c>
      <c r="AH34" s="7">
        <f t="shared" si="2"/>
        <v>10</v>
      </c>
      <c r="AI34" s="7">
        <f t="shared" si="3"/>
        <v>5</v>
      </c>
      <c r="AJ34" s="7">
        <f t="shared" si="4"/>
        <v>0</v>
      </c>
      <c r="AK34" s="7">
        <f t="shared" si="5"/>
        <v>6</v>
      </c>
      <c r="AL34" s="12">
        <f t="shared" si="9"/>
        <v>24</v>
      </c>
      <c r="AM34" s="14" t="str">
        <f t="shared" si="7"/>
        <v>Barrier</v>
      </c>
      <c r="AN34" s="10" t="s">
        <v>195</v>
      </c>
      <c r="AO34" s="21">
        <v>15</v>
      </c>
      <c r="AP34" s="10" t="s">
        <v>182</v>
      </c>
    </row>
    <row r="35" spans="1:42" ht="32">
      <c r="A35" s="59">
        <v>45185</v>
      </c>
      <c r="C35" s="10">
        <v>14000637</v>
      </c>
      <c r="D35" s="10" t="s">
        <v>110</v>
      </c>
      <c r="E35" s="11">
        <v>9</v>
      </c>
      <c r="F35" s="39">
        <v>640014</v>
      </c>
      <c r="G35" s="39">
        <v>6023911</v>
      </c>
      <c r="H35" s="11" t="s">
        <v>134</v>
      </c>
      <c r="I35" s="11" t="s">
        <v>135</v>
      </c>
      <c r="K35" s="11" t="s">
        <v>133</v>
      </c>
      <c r="L35" s="10" t="s">
        <v>96</v>
      </c>
      <c r="M35" s="10" t="s">
        <v>97</v>
      </c>
      <c r="N35" s="21">
        <v>0.9</v>
      </c>
      <c r="O35" s="21">
        <v>24</v>
      </c>
      <c r="P35" s="10" t="s">
        <v>98</v>
      </c>
      <c r="Q35" s="87"/>
      <c r="R35" s="10" t="s">
        <v>98</v>
      </c>
      <c r="S35" s="10" t="s">
        <v>98</v>
      </c>
      <c r="T35" s="87"/>
      <c r="U35" s="21">
        <v>5</v>
      </c>
      <c r="V35" s="10">
        <v>0.75</v>
      </c>
      <c r="W35" s="21">
        <v>0.15</v>
      </c>
      <c r="X35" s="10" t="s">
        <v>98</v>
      </c>
      <c r="Y35" s="21">
        <v>2</v>
      </c>
      <c r="Z35" s="21">
        <v>2</v>
      </c>
      <c r="AA35" s="10">
        <v>1.5</v>
      </c>
      <c r="AB35" s="10" t="s">
        <v>98</v>
      </c>
      <c r="AC35" s="10" t="s">
        <v>107</v>
      </c>
      <c r="AD35" s="10" t="s">
        <v>99</v>
      </c>
      <c r="AE35" s="10" t="s">
        <v>108</v>
      </c>
      <c r="AF35" s="20">
        <f t="shared" si="8"/>
        <v>2.2222222222222223</v>
      </c>
      <c r="AG35" s="13">
        <f t="shared" si="1"/>
        <v>3</v>
      </c>
      <c r="AH35" s="7">
        <f t="shared" si="2"/>
        <v>10</v>
      </c>
      <c r="AI35" s="7">
        <f t="shared" si="3"/>
        <v>10</v>
      </c>
      <c r="AJ35" s="7">
        <f t="shared" si="4"/>
        <v>5</v>
      </c>
      <c r="AK35" s="7">
        <f t="shared" si="5"/>
        <v>6</v>
      </c>
      <c r="AL35" s="12">
        <f t="shared" si="9"/>
        <v>34</v>
      </c>
      <c r="AM35" s="14" t="str">
        <f t="shared" si="7"/>
        <v>Barrier</v>
      </c>
      <c r="AN35" s="10" t="s">
        <v>195</v>
      </c>
      <c r="AO35" s="21">
        <v>21</v>
      </c>
      <c r="AP35" s="10" t="s">
        <v>183</v>
      </c>
    </row>
    <row r="36" spans="1:42" ht="32">
      <c r="A36" s="59">
        <v>45181</v>
      </c>
      <c r="C36" s="10">
        <v>14000638</v>
      </c>
      <c r="D36" s="10" t="s">
        <v>92</v>
      </c>
      <c r="E36" s="11">
        <v>9</v>
      </c>
      <c r="F36" s="39">
        <v>637531</v>
      </c>
      <c r="G36" s="39">
        <v>6021808</v>
      </c>
      <c r="H36" s="11" t="s">
        <v>134</v>
      </c>
      <c r="I36" s="11" t="s">
        <v>135</v>
      </c>
      <c r="K36" s="11" t="s">
        <v>133</v>
      </c>
      <c r="L36" s="10" t="s">
        <v>96</v>
      </c>
      <c r="M36" s="10" t="s">
        <v>97</v>
      </c>
      <c r="N36" s="21">
        <v>1.2</v>
      </c>
      <c r="O36" s="21">
        <v>24</v>
      </c>
      <c r="P36" s="10" t="s">
        <v>98</v>
      </c>
      <c r="Q36" s="87"/>
      <c r="R36" s="10" t="s">
        <v>98</v>
      </c>
      <c r="S36" s="10" t="s">
        <v>98</v>
      </c>
      <c r="T36" s="87"/>
      <c r="U36" s="21">
        <v>4</v>
      </c>
      <c r="V36" s="10">
        <v>0</v>
      </c>
      <c r="W36" s="21">
        <v>0.4</v>
      </c>
      <c r="X36" s="10" t="s">
        <v>98</v>
      </c>
      <c r="Y36" s="21">
        <v>5</v>
      </c>
      <c r="Z36" s="21">
        <v>1.7</v>
      </c>
      <c r="AA36" s="10">
        <v>4</v>
      </c>
      <c r="AB36" s="10" t="s">
        <v>98</v>
      </c>
      <c r="AC36" s="10" t="s">
        <v>98</v>
      </c>
      <c r="AD36" s="10" t="s">
        <v>99</v>
      </c>
      <c r="AE36" s="10" t="s">
        <v>108</v>
      </c>
      <c r="AF36" s="20">
        <f t="shared" si="8"/>
        <v>1.4166666666666667</v>
      </c>
      <c r="AG36" s="13">
        <f t="shared" si="1"/>
        <v>3</v>
      </c>
      <c r="AH36" s="7">
        <f t="shared" si="2"/>
        <v>10</v>
      </c>
      <c r="AI36" s="7">
        <f t="shared" si="3"/>
        <v>0</v>
      </c>
      <c r="AJ36" s="7">
        <f t="shared" si="4"/>
        <v>10</v>
      </c>
      <c r="AK36" s="7">
        <f t="shared" si="5"/>
        <v>6</v>
      </c>
      <c r="AL36" s="12">
        <f t="shared" si="9"/>
        <v>29</v>
      </c>
      <c r="AM36" s="14" t="str">
        <f t="shared" si="7"/>
        <v>Barrier</v>
      </c>
      <c r="AN36" s="10" t="s">
        <v>196</v>
      </c>
      <c r="AO36" s="21">
        <v>3</v>
      </c>
      <c r="AP36" s="10" t="s">
        <v>184</v>
      </c>
    </row>
    <row r="37" spans="1:42" ht="48">
      <c r="A37" s="59">
        <v>45182</v>
      </c>
      <c r="C37" s="10">
        <v>14000707</v>
      </c>
      <c r="D37" s="10" t="s">
        <v>110</v>
      </c>
      <c r="E37" s="11">
        <v>9</v>
      </c>
      <c r="F37" s="39">
        <v>648055</v>
      </c>
      <c r="G37" s="39">
        <v>5994865</v>
      </c>
      <c r="H37" s="11" t="s">
        <v>136</v>
      </c>
      <c r="I37" s="11" t="s">
        <v>137</v>
      </c>
      <c r="K37" s="11" t="s">
        <v>138</v>
      </c>
      <c r="L37" s="10" t="s">
        <v>96</v>
      </c>
      <c r="M37" s="10" t="s">
        <v>97</v>
      </c>
      <c r="N37" s="21">
        <v>0.75</v>
      </c>
      <c r="O37" s="21">
        <v>26</v>
      </c>
      <c r="P37" s="10" t="s">
        <v>98</v>
      </c>
      <c r="Q37" s="87"/>
      <c r="R37" s="10" t="s">
        <v>98</v>
      </c>
      <c r="S37" s="10" t="s">
        <v>98</v>
      </c>
      <c r="T37" s="87"/>
      <c r="U37" s="21">
        <v>1.5</v>
      </c>
      <c r="V37" s="10">
        <v>0.3</v>
      </c>
      <c r="W37" s="21">
        <v>0.75</v>
      </c>
      <c r="X37" s="10" t="s">
        <v>98</v>
      </c>
      <c r="Y37" s="21">
        <v>2</v>
      </c>
      <c r="Z37" s="21">
        <v>1.5</v>
      </c>
      <c r="AA37" s="10">
        <v>2</v>
      </c>
      <c r="AB37" s="10" t="s">
        <v>98</v>
      </c>
      <c r="AC37" s="10" t="s">
        <v>98</v>
      </c>
      <c r="AD37" s="10" t="s">
        <v>99</v>
      </c>
      <c r="AE37" s="10" t="s">
        <v>108</v>
      </c>
      <c r="AF37" s="20">
        <f t="shared" si="8"/>
        <v>2</v>
      </c>
      <c r="AG37" s="13">
        <f t="shared" si="1"/>
        <v>3</v>
      </c>
      <c r="AH37" s="7">
        <f t="shared" si="2"/>
        <v>10</v>
      </c>
      <c r="AI37" s="7">
        <f t="shared" si="3"/>
        <v>10</v>
      </c>
      <c r="AJ37" s="7">
        <f t="shared" si="4"/>
        <v>5</v>
      </c>
      <c r="AK37" s="7">
        <f t="shared" si="5"/>
        <v>6</v>
      </c>
      <c r="AL37" s="12">
        <f t="shared" si="9"/>
        <v>34</v>
      </c>
      <c r="AM37" s="14" t="str">
        <f t="shared" si="7"/>
        <v>Barrier</v>
      </c>
      <c r="AN37" s="10" t="s">
        <v>196</v>
      </c>
      <c r="AO37" s="21">
        <v>3</v>
      </c>
      <c r="AP37" s="10" t="s">
        <v>185</v>
      </c>
    </row>
    <row r="38" spans="1:42" ht="48">
      <c r="A38" s="59">
        <v>45182</v>
      </c>
      <c r="C38" s="10">
        <v>14000708</v>
      </c>
      <c r="D38" s="10" t="s">
        <v>92</v>
      </c>
      <c r="E38" s="11">
        <v>9</v>
      </c>
      <c r="F38" s="39">
        <v>647362</v>
      </c>
      <c r="G38" s="39">
        <v>5997427</v>
      </c>
      <c r="H38" s="11" t="s">
        <v>139</v>
      </c>
      <c r="I38" s="11" t="s">
        <v>137</v>
      </c>
      <c r="J38" s="22">
        <v>41.1</v>
      </c>
      <c r="K38" s="11" t="s">
        <v>140</v>
      </c>
      <c r="L38" s="10" t="s">
        <v>96</v>
      </c>
      <c r="M38" s="10" t="s">
        <v>97</v>
      </c>
      <c r="N38" s="21">
        <v>1.3</v>
      </c>
      <c r="O38" s="21">
        <v>15</v>
      </c>
      <c r="P38" s="10" t="s">
        <v>107</v>
      </c>
      <c r="Q38" s="21">
        <v>0.1</v>
      </c>
      <c r="R38" s="10" t="s">
        <v>107</v>
      </c>
      <c r="S38" s="10" t="s">
        <v>98</v>
      </c>
      <c r="T38" s="87"/>
      <c r="U38" s="21">
        <v>1</v>
      </c>
      <c r="V38" s="10">
        <v>0</v>
      </c>
      <c r="W38" s="21">
        <v>0</v>
      </c>
      <c r="X38" s="10" t="s">
        <v>98</v>
      </c>
      <c r="Y38" s="21">
        <v>2</v>
      </c>
      <c r="Z38" s="21">
        <v>2.5</v>
      </c>
      <c r="AA38" s="10">
        <v>4</v>
      </c>
      <c r="AB38" s="10" t="s">
        <v>98</v>
      </c>
      <c r="AC38" s="10" t="s">
        <v>98</v>
      </c>
      <c r="AD38" s="10" t="s">
        <v>99</v>
      </c>
      <c r="AE38" s="10" t="s">
        <v>100</v>
      </c>
      <c r="AF38" s="20">
        <f t="shared" si="8"/>
        <v>1.9230769230769229</v>
      </c>
      <c r="AG38" s="13">
        <f t="shared" si="1"/>
        <v>3</v>
      </c>
      <c r="AH38" s="7">
        <f t="shared" si="2"/>
        <v>5</v>
      </c>
      <c r="AI38" s="7">
        <f t="shared" si="3"/>
        <v>0</v>
      </c>
      <c r="AJ38" s="7">
        <f t="shared" si="4"/>
        <v>5</v>
      </c>
      <c r="AK38" s="7">
        <f t="shared" si="5"/>
        <v>6</v>
      </c>
      <c r="AL38" s="12">
        <f t="shared" si="9"/>
        <v>19</v>
      </c>
      <c r="AM38" s="14" t="str">
        <f t="shared" si="7"/>
        <v>Potential</v>
      </c>
      <c r="AN38" s="10" t="s">
        <v>195</v>
      </c>
      <c r="AO38" s="21">
        <v>15</v>
      </c>
      <c r="AP38" s="10" t="s">
        <v>186</v>
      </c>
    </row>
    <row r="39" spans="1:42" ht="32">
      <c r="A39" s="59">
        <v>45181</v>
      </c>
      <c r="C39" s="10">
        <v>14000855</v>
      </c>
      <c r="D39" s="10" t="s">
        <v>92</v>
      </c>
      <c r="E39" s="11">
        <v>9</v>
      </c>
      <c r="F39" s="39">
        <v>636691</v>
      </c>
      <c r="G39" s="39">
        <v>6020943</v>
      </c>
      <c r="H39" s="11" t="s">
        <v>134</v>
      </c>
      <c r="I39" s="11" t="s">
        <v>141</v>
      </c>
      <c r="K39" s="11" t="s">
        <v>133</v>
      </c>
      <c r="L39" s="10" t="s">
        <v>96</v>
      </c>
      <c r="M39" s="10" t="s">
        <v>97</v>
      </c>
      <c r="N39" s="21">
        <v>0.9</v>
      </c>
      <c r="O39" s="21">
        <v>18</v>
      </c>
      <c r="P39" s="10" t="s">
        <v>98</v>
      </c>
      <c r="Q39" s="87"/>
      <c r="R39" s="10" t="s">
        <v>98</v>
      </c>
      <c r="S39" s="10" t="s">
        <v>98</v>
      </c>
      <c r="T39" s="87"/>
      <c r="U39" s="21">
        <v>1</v>
      </c>
      <c r="V39" s="10">
        <v>0</v>
      </c>
      <c r="W39" s="21">
        <v>1.2</v>
      </c>
      <c r="X39" s="10" t="s">
        <v>98</v>
      </c>
      <c r="Y39" s="21">
        <v>1</v>
      </c>
      <c r="Z39" s="21">
        <v>1.9</v>
      </c>
      <c r="AA39" s="10">
        <v>3</v>
      </c>
      <c r="AB39" s="10" t="s">
        <v>107</v>
      </c>
      <c r="AC39" s="10" t="s">
        <v>107</v>
      </c>
      <c r="AD39" s="10" t="s">
        <v>99</v>
      </c>
      <c r="AE39" s="10" t="s">
        <v>100</v>
      </c>
      <c r="AF39" s="20">
        <f t="shared" si="8"/>
        <v>2.1111111111111112</v>
      </c>
      <c r="AG39" s="13">
        <f t="shared" si="1"/>
        <v>3</v>
      </c>
      <c r="AH39" s="7">
        <f t="shared" si="2"/>
        <v>10</v>
      </c>
      <c r="AI39" s="7">
        <f t="shared" si="3"/>
        <v>0</v>
      </c>
      <c r="AJ39" s="7">
        <f t="shared" si="4"/>
        <v>5</v>
      </c>
      <c r="AK39" s="7">
        <f t="shared" si="5"/>
        <v>6</v>
      </c>
      <c r="AL39" s="12">
        <f t="shared" si="9"/>
        <v>24</v>
      </c>
      <c r="AM39" s="14" t="str">
        <f t="shared" si="7"/>
        <v>Barrier</v>
      </c>
      <c r="AN39" s="10" t="s">
        <v>196</v>
      </c>
      <c r="AO39" s="21">
        <v>3</v>
      </c>
      <c r="AP39" s="10" t="s">
        <v>187</v>
      </c>
    </row>
    <row r="40" spans="1:42" ht="32">
      <c r="A40" s="59">
        <v>45185</v>
      </c>
      <c r="C40" s="10">
        <v>14001105</v>
      </c>
      <c r="D40" s="10" t="s">
        <v>92</v>
      </c>
      <c r="E40" s="11">
        <v>9</v>
      </c>
      <c r="F40" s="39">
        <v>631178</v>
      </c>
      <c r="G40" s="39">
        <v>6018352</v>
      </c>
      <c r="H40" s="11" t="s">
        <v>132</v>
      </c>
      <c r="I40" s="11" t="s">
        <v>142</v>
      </c>
      <c r="K40" s="11" t="s">
        <v>133</v>
      </c>
      <c r="L40" s="10" t="s">
        <v>96</v>
      </c>
      <c r="M40" s="10" t="s">
        <v>97</v>
      </c>
      <c r="N40" s="21">
        <v>1</v>
      </c>
      <c r="O40" s="21">
        <v>10</v>
      </c>
      <c r="P40" s="10" t="s">
        <v>98</v>
      </c>
      <c r="Q40" s="87"/>
      <c r="R40" s="10" t="s">
        <v>98</v>
      </c>
      <c r="S40" s="10" t="s">
        <v>98</v>
      </c>
      <c r="T40" s="87"/>
      <c r="U40" s="21">
        <v>0.6</v>
      </c>
      <c r="V40" s="10">
        <v>0.2</v>
      </c>
      <c r="W40" s="21">
        <v>0</v>
      </c>
      <c r="X40" s="10" t="s">
        <v>98</v>
      </c>
      <c r="Y40" s="21">
        <v>1</v>
      </c>
      <c r="Z40" s="21">
        <v>0.8</v>
      </c>
      <c r="AA40" s="10">
        <v>2.5</v>
      </c>
      <c r="AB40" s="10" t="s">
        <v>98</v>
      </c>
      <c r="AC40" s="10" t="s">
        <v>98</v>
      </c>
      <c r="AD40" s="10" t="s">
        <v>99</v>
      </c>
      <c r="AE40" s="10" t="s">
        <v>104</v>
      </c>
      <c r="AF40" s="20">
        <f t="shared" si="8"/>
        <v>0.8</v>
      </c>
      <c r="AG40" s="13">
        <f t="shared" si="1"/>
        <v>0</v>
      </c>
      <c r="AH40" s="7">
        <f t="shared" si="2"/>
        <v>10</v>
      </c>
      <c r="AI40" s="7">
        <f t="shared" si="3"/>
        <v>5</v>
      </c>
      <c r="AJ40" s="7">
        <f t="shared" si="4"/>
        <v>5</v>
      </c>
      <c r="AK40" s="7">
        <f t="shared" si="5"/>
        <v>0</v>
      </c>
      <c r="AL40" s="12">
        <f t="shared" si="9"/>
        <v>20</v>
      </c>
      <c r="AM40" s="14" t="str">
        <f t="shared" si="7"/>
        <v>Barrier</v>
      </c>
      <c r="AN40" s="10" t="s">
        <v>196</v>
      </c>
      <c r="AO40" s="21">
        <v>3</v>
      </c>
      <c r="AP40" s="10" t="s">
        <v>188</v>
      </c>
    </row>
    <row r="41" spans="1:42" ht="32">
      <c r="A41" s="59">
        <v>45181</v>
      </c>
      <c r="C41" s="10">
        <v>14001106</v>
      </c>
      <c r="D41" s="10" t="s">
        <v>92</v>
      </c>
      <c r="E41" s="11">
        <v>9</v>
      </c>
      <c r="F41" s="39">
        <v>631508</v>
      </c>
      <c r="G41" s="39">
        <v>6018096</v>
      </c>
      <c r="H41" s="11" t="s">
        <v>132</v>
      </c>
      <c r="I41" s="11" t="s">
        <v>142</v>
      </c>
      <c r="K41" s="11" t="s">
        <v>133</v>
      </c>
      <c r="L41" s="10" t="s">
        <v>96</v>
      </c>
      <c r="M41" s="10" t="s">
        <v>97</v>
      </c>
      <c r="N41" s="21">
        <v>1.2</v>
      </c>
      <c r="O41" s="21">
        <v>14</v>
      </c>
      <c r="P41" s="10" t="s">
        <v>98</v>
      </c>
      <c r="Q41" s="87"/>
      <c r="R41" s="10" t="s">
        <v>98</v>
      </c>
      <c r="S41" s="10" t="s">
        <v>98</v>
      </c>
      <c r="T41" s="87"/>
      <c r="U41" s="21">
        <v>0.7</v>
      </c>
      <c r="V41" s="10">
        <v>0.1</v>
      </c>
      <c r="W41" s="21">
        <v>0.7</v>
      </c>
      <c r="X41" s="10" t="s">
        <v>98</v>
      </c>
      <c r="Y41" s="21">
        <v>1</v>
      </c>
      <c r="Z41" s="21">
        <v>1.9</v>
      </c>
      <c r="AA41" s="10">
        <v>2</v>
      </c>
      <c r="AB41" s="10" t="s">
        <v>98</v>
      </c>
      <c r="AC41" s="10" t="s">
        <v>98</v>
      </c>
      <c r="AD41" s="10" t="s">
        <v>99</v>
      </c>
      <c r="AE41" s="10" t="s">
        <v>100</v>
      </c>
      <c r="AF41" s="20">
        <f t="shared" si="8"/>
        <v>1.5833333333333333</v>
      </c>
      <c r="AG41" s="13">
        <f t="shared" si="1"/>
        <v>0</v>
      </c>
      <c r="AH41" s="7">
        <f t="shared" si="2"/>
        <v>10</v>
      </c>
      <c r="AI41" s="7">
        <f t="shared" si="3"/>
        <v>0</v>
      </c>
      <c r="AJ41" s="7">
        <f t="shared" si="4"/>
        <v>5</v>
      </c>
      <c r="AK41" s="7">
        <f t="shared" si="5"/>
        <v>6</v>
      </c>
      <c r="AL41" s="12">
        <f t="shared" si="9"/>
        <v>21</v>
      </c>
      <c r="AM41" s="14" t="str">
        <f t="shared" si="7"/>
        <v>Barrier</v>
      </c>
      <c r="AN41" s="10" t="s">
        <v>196</v>
      </c>
      <c r="AO41" s="21">
        <v>3</v>
      </c>
      <c r="AP41" s="10" t="s">
        <v>189</v>
      </c>
    </row>
    <row r="42" spans="1:42" ht="32">
      <c r="A42" s="59">
        <v>45187</v>
      </c>
      <c r="C42" s="10">
        <v>24600461</v>
      </c>
      <c r="D42" s="10" t="s">
        <v>110</v>
      </c>
      <c r="E42" s="11">
        <v>9</v>
      </c>
      <c r="F42" s="39">
        <v>590954</v>
      </c>
      <c r="G42" s="39">
        <v>6071963</v>
      </c>
      <c r="H42" s="11" t="s">
        <v>143</v>
      </c>
      <c r="I42" s="11" t="s">
        <v>129</v>
      </c>
      <c r="J42" s="22">
        <v>0.75</v>
      </c>
      <c r="K42" s="11" t="s">
        <v>144</v>
      </c>
      <c r="L42" s="10" t="s">
        <v>131</v>
      </c>
      <c r="M42" s="10" t="s">
        <v>197</v>
      </c>
      <c r="N42" s="87"/>
      <c r="O42" s="87"/>
      <c r="P42" s="86"/>
      <c r="Q42" s="87"/>
      <c r="R42" s="86"/>
      <c r="S42" s="86"/>
      <c r="T42" s="87"/>
      <c r="U42" s="87"/>
      <c r="V42" s="86"/>
      <c r="W42" s="87"/>
      <c r="X42" s="86"/>
      <c r="Y42" s="87"/>
      <c r="Z42" s="87"/>
      <c r="AA42" s="86"/>
      <c r="AB42" s="10" t="s">
        <v>98</v>
      </c>
      <c r="AC42" s="10" t="s">
        <v>107</v>
      </c>
      <c r="AD42" s="86"/>
      <c r="AE42" s="86"/>
      <c r="AF42" s="20">
        <f t="shared" si="8"/>
        <v>0</v>
      </c>
      <c r="AG42" s="13">
        <f t="shared" si="1"/>
        <v>0</v>
      </c>
      <c r="AH42" s="7">
        <f t="shared" si="2"/>
        <v>0</v>
      </c>
      <c r="AI42" s="7">
        <f t="shared" si="3"/>
        <v>0</v>
      </c>
      <c r="AJ42" s="7">
        <f t="shared" si="4"/>
        <v>0</v>
      </c>
      <c r="AK42" s="7">
        <f t="shared" si="5"/>
        <v>0</v>
      </c>
      <c r="AL42" s="12">
        <f t="shared" si="9"/>
        <v>0</v>
      </c>
      <c r="AM42" s="14" t="str">
        <f t="shared" si="7"/>
        <v>Unknown</v>
      </c>
      <c r="AP42" s="10" t="s">
        <v>190</v>
      </c>
    </row>
    <row r="43" spans="1:42" ht="64">
      <c r="A43" s="59">
        <v>45188</v>
      </c>
      <c r="C43" s="10">
        <v>24601268</v>
      </c>
      <c r="D43" s="10" t="s">
        <v>92</v>
      </c>
      <c r="E43" s="11">
        <v>9</v>
      </c>
      <c r="F43" s="39">
        <v>597568</v>
      </c>
      <c r="G43" s="39">
        <v>6070337</v>
      </c>
      <c r="H43" s="11" t="s">
        <v>145</v>
      </c>
      <c r="I43" s="11" t="s">
        <v>146</v>
      </c>
      <c r="K43" s="11" t="s">
        <v>147</v>
      </c>
      <c r="L43" s="10" t="s">
        <v>96</v>
      </c>
      <c r="M43" s="10" t="s">
        <v>97</v>
      </c>
      <c r="N43" s="21">
        <v>0.6</v>
      </c>
      <c r="O43" s="21">
        <v>12</v>
      </c>
      <c r="P43" s="10" t="s">
        <v>98</v>
      </c>
      <c r="Q43" s="87"/>
      <c r="R43" s="10" t="s">
        <v>98</v>
      </c>
      <c r="S43" s="10" t="s">
        <v>98</v>
      </c>
      <c r="T43" s="87"/>
      <c r="U43" s="21">
        <v>0.8</v>
      </c>
      <c r="V43" s="10">
        <v>1</v>
      </c>
      <c r="W43" s="21">
        <v>0.3</v>
      </c>
      <c r="X43" s="10" t="s">
        <v>98</v>
      </c>
      <c r="Y43" s="21">
        <v>6</v>
      </c>
      <c r="Z43" s="21">
        <v>1.1000000000000001</v>
      </c>
      <c r="AA43" s="10">
        <v>8</v>
      </c>
      <c r="AB43" s="10" t="s">
        <v>98</v>
      </c>
      <c r="AC43" s="10" t="s">
        <v>98</v>
      </c>
      <c r="AD43" s="10" t="s">
        <v>99</v>
      </c>
      <c r="AE43" s="10" t="s">
        <v>104</v>
      </c>
      <c r="AF43" s="20">
        <f t="shared" si="8"/>
        <v>1.8333333333333335</v>
      </c>
      <c r="AG43" s="13">
        <f t="shared" si="1"/>
        <v>0</v>
      </c>
      <c r="AH43" s="7">
        <f t="shared" si="2"/>
        <v>10</v>
      </c>
      <c r="AI43" s="7">
        <f t="shared" si="3"/>
        <v>10</v>
      </c>
      <c r="AJ43" s="7">
        <f t="shared" si="4"/>
        <v>10</v>
      </c>
      <c r="AK43" s="7">
        <f t="shared" si="5"/>
        <v>6</v>
      </c>
      <c r="AL43" s="12">
        <f t="shared" si="9"/>
        <v>36</v>
      </c>
      <c r="AM43" s="14" t="str">
        <f t="shared" si="7"/>
        <v>Barrier</v>
      </c>
      <c r="AN43" s="10" t="s">
        <v>196</v>
      </c>
      <c r="AO43" s="21">
        <v>3</v>
      </c>
      <c r="AP43" s="10" t="s">
        <v>191</v>
      </c>
    </row>
    <row r="44" spans="1:42" ht="32">
      <c r="A44" s="59">
        <v>45188</v>
      </c>
      <c r="C44" s="10">
        <v>24601275</v>
      </c>
      <c r="D44" s="10" t="s">
        <v>110</v>
      </c>
      <c r="E44" s="11">
        <v>9</v>
      </c>
      <c r="F44" s="39">
        <v>592861</v>
      </c>
      <c r="G44" s="39">
        <v>6070871</v>
      </c>
      <c r="H44" s="11" t="s">
        <v>143</v>
      </c>
      <c r="I44" s="11" t="s">
        <v>148</v>
      </c>
      <c r="K44" s="11" t="s">
        <v>149</v>
      </c>
      <c r="L44" s="10" t="s">
        <v>150</v>
      </c>
      <c r="M44" s="10" t="s">
        <v>151</v>
      </c>
      <c r="N44" s="21">
        <v>5</v>
      </c>
      <c r="O44" s="21">
        <v>20</v>
      </c>
      <c r="P44" s="86"/>
      <c r="Q44" s="87"/>
      <c r="R44" s="86"/>
      <c r="S44" s="86"/>
      <c r="T44" s="87"/>
      <c r="U44" s="87"/>
      <c r="V44" s="86"/>
      <c r="W44" s="87"/>
      <c r="X44" s="86"/>
      <c r="Y44" s="87"/>
      <c r="Z44" s="87"/>
      <c r="AA44" s="86"/>
      <c r="AB44" s="10" t="s">
        <v>98</v>
      </c>
      <c r="AC44" s="10" t="s">
        <v>98</v>
      </c>
      <c r="AD44" s="86"/>
      <c r="AE44" s="86"/>
      <c r="AF44" s="20">
        <f t="shared" si="8"/>
        <v>0</v>
      </c>
      <c r="AG44" s="13">
        <f t="shared" si="1"/>
        <v>3</v>
      </c>
      <c r="AH44" s="7">
        <f t="shared" si="2"/>
        <v>0</v>
      </c>
      <c r="AI44" s="7">
        <f t="shared" si="3"/>
        <v>0</v>
      </c>
      <c r="AJ44" s="7">
        <f t="shared" si="4"/>
        <v>0</v>
      </c>
      <c r="AK44" s="7">
        <f t="shared" si="5"/>
        <v>0</v>
      </c>
      <c r="AL44" s="12">
        <f t="shared" si="9"/>
        <v>3</v>
      </c>
      <c r="AM44" s="14" t="str">
        <f t="shared" si="7"/>
        <v>Passable</v>
      </c>
      <c r="AN44" s="86"/>
      <c r="AO44" s="87"/>
      <c r="AP44" s="10" t="s">
        <v>192</v>
      </c>
    </row>
    <row r="45" spans="1:42" ht="32">
      <c r="A45" s="59">
        <v>45188</v>
      </c>
      <c r="C45" s="10">
        <v>24601279</v>
      </c>
      <c r="D45" s="10" t="s">
        <v>92</v>
      </c>
      <c r="E45" s="11">
        <v>9</v>
      </c>
      <c r="F45" s="39">
        <v>590211</v>
      </c>
      <c r="G45" s="39">
        <v>6069931</v>
      </c>
      <c r="H45" s="11" t="s">
        <v>143</v>
      </c>
      <c r="I45" s="11" t="s">
        <v>146</v>
      </c>
      <c r="K45" s="11" t="s">
        <v>149</v>
      </c>
      <c r="L45" s="10" t="s">
        <v>96</v>
      </c>
      <c r="M45" s="10" t="s">
        <v>97</v>
      </c>
      <c r="N45" s="21">
        <v>1.1000000000000001</v>
      </c>
      <c r="O45" s="21">
        <v>10</v>
      </c>
      <c r="P45" s="10" t="s">
        <v>98</v>
      </c>
      <c r="Q45" s="87"/>
      <c r="R45" s="10" t="s">
        <v>98</v>
      </c>
      <c r="S45" s="10" t="s">
        <v>98</v>
      </c>
      <c r="T45" s="87"/>
      <c r="U45" s="21">
        <v>1.2</v>
      </c>
      <c r="V45" s="10">
        <v>0</v>
      </c>
      <c r="W45" s="21">
        <v>0</v>
      </c>
      <c r="X45" s="10" t="s">
        <v>98</v>
      </c>
      <c r="Y45" s="21">
        <v>8</v>
      </c>
      <c r="Z45" s="21">
        <v>0.8</v>
      </c>
      <c r="AA45" s="10">
        <v>11</v>
      </c>
      <c r="AB45" s="10" t="s">
        <v>98</v>
      </c>
      <c r="AC45" s="10" t="s">
        <v>98</v>
      </c>
      <c r="AD45" s="10" t="s">
        <v>99</v>
      </c>
      <c r="AE45" s="10" t="s">
        <v>104</v>
      </c>
      <c r="AF45" s="20">
        <f t="shared" si="8"/>
        <v>0.72727272727272729</v>
      </c>
      <c r="AG45" s="13">
        <f t="shared" si="1"/>
        <v>0</v>
      </c>
      <c r="AH45" s="7">
        <f t="shared" si="2"/>
        <v>10</v>
      </c>
      <c r="AI45" s="7">
        <f t="shared" si="3"/>
        <v>0</v>
      </c>
      <c r="AJ45" s="7">
        <f t="shared" si="4"/>
        <v>10</v>
      </c>
      <c r="AK45" s="7">
        <f t="shared" si="5"/>
        <v>0</v>
      </c>
      <c r="AL45" s="12">
        <f t="shared" si="9"/>
        <v>20</v>
      </c>
      <c r="AM45" s="14" t="str">
        <f t="shared" si="7"/>
        <v>Barrier</v>
      </c>
      <c r="AN45" s="10" t="s">
        <v>196</v>
      </c>
      <c r="AO45" s="21">
        <v>3</v>
      </c>
      <c r="AP45" s="10" t="s">
        <v>207</v>
      </c>
    </row>
    <row r="46" spans="1:42" ht="64">
      <c r="A46" s="59">
        <v>45188</v>
      </c>
      <c r="C46" s="10">
        <v>24601280</v>
      </c>
      <c r="D46" s="10" t="s">
        <v>110</v>
      </c>
      <c r="E46" s="11">
        <v>9</v>
      </c>
      <c r="F46" s="39">
        <v>597637</v>
      </c>
      <c r="G46" s="39">
        <v>6070211</v>
      </c>
      <c r="H46" s="11" t="s">
        <v>145</v>
      </c>
      <c r="I46" s="11" t="s">
        <v>146</v>
      </c>
      <c r="K46" s="11" t="s">
        <v>147</v>
      </c>
      <c r="L46" s="10" t="s">
        <v>96</v>
      </c>
      <c r="M46" s="10" t="s">
        <v>97</v>
      </c>
      <c r="N46" s="21">
        <v>0.6</v>
      </c>
      <c r="O46" s="21">
        <v>18.5</v>
      </c>
      <c r="P46" s="10" t="s">
        <v>98</v>
      </c>
      <c r="Q46" s="87"/>
      <c r="R46" s="10" t="s">
        <v>98</v>
      </c>
      <c r="S46" s="10" t="s">
        <v>98</v>
      </c>
      <c r="T46" s="87"/>
      <c r="U46" s="21">
        <v>1</v>
      </c>
      <c r="V46" s="10">
        <v>0.18</v>
      </c>
      <c r="W46" s="21">
        <v>0.4</v>
      </c>
      <c r="X46" s="10" t="s">
        <v>107</v>
      </c>
      <c r="Y46" s="21">
        <v>5</v>
      </c>
      <c r="Z46" s="21">
        <v>1.8</v>
      </c>
      <c r="AA46" s="10">
        <v>7</v>
      </c>
      <c r="AB46" s="10" t="s">
        <v>98</v>
      </c>
      <c r="AC46" s="10" t="s">
        <v>107</v>
      </c>
      <c r="AD46" s="10" t="s">
        <v>99</v>
      </c>
      <c r="AE46" s="10" t="s">
        <v>108</v>
      </c>
      <c r="AF46" s="20">
        <f t="shared" si="8"/>
        <v>3</v>
      </c>
      <c r="AG46" s="13">
        <f t="shared" si="1"/>
        <v>3</v>
      </c>
      <c r="AH46" s="7">
        <f t="shared" si="2"/>
        <v>10</v>
      </c>
      <c r="AI46" s="7">
        <f t="shared" si="3"/>
        <v>5</v>
      </c>
      <c r="AJ46" s="7">
        <f t="shared" si="4"/>
        <v>10</v>
      </c>
      <c r="AK46" s="7">
        <f t="shared" si="5"/>
        <v>6</v>
      </c>
      <c r="AL46" s="12">
        <f t="shared" si="9"/>
        <v>34</v>
      </c>
      <c r="AM46" s="14" t="str">
        <f t="shared" si="7"/>
        <v>Barrier</v>
      </c>
      <c r="AN46" s="10" t="s">
        <v>196</v>
      </c>
      <c r="AO46" s="21">
        <v>3</v>
      </c>
      <c r="AP46" s="10" t="s">
        <v>193</v>
      </c>
    </row>
    <row r="47" spans="1:42" ht="32">
      <c r="A47" s="59">
        <v>45196</v>
      </c>
      <c r="C47" s="10">
        <v>2023092701</v>
      </c>
      <c r="D47" s="10" t="s">
        <v>92</v>
      </c>
      <c r="E47" s="11">
        <v>9</v>
      </c>
      <c r="F47" s="39">
        <v>614784</v>
      </c>
      <c r="G47" s="39">
        <v>6010128</v>
      </c>
      <c r="H47" s="11" t="s">
        <v>152</v>
      </c>
      <c r="I47" s="11" t="s">
        <v>153</v>
      </c>
      <c r="K47" s="11" t="s">
        <v>154</v>
      </c>
      <c r="L47" s="10" t="s">
        <v>96</v>
      </c>
      <c r="M47" s="10" t="s">
        <v>97</v>
      </c>
      <c r="N47" s="21">
        <v>1</v>
      </c>
      <c r="O47" s="21">
        <v>14</v>
      </c>
      <c r="P47" s="10" t="s">
        <v>98</v>
      </c>
      <c r="Q47" s="87"/>
      <c r="R47" s="10" t="s">
        <v>98</v>
      </c>
      <c r="S47" s="10" t="s">
        <v>98</v>
      </c>
      <c r="T47" s="87"/>
      <c r="U47" s="21">
        <v>1</v>
      </c>
      <c r="V47" s="10">
        <v>0.3</v>
      </c>
      <c r="W47" s="21">
        <v>0.8</v>
      </c>
      <c r="X47" s="10" t="s">
        <v>107</v>
      </c>
      <c r="Y47" s="21">
        <v>2</v>
      </c>
      <c r="Z47" s="21">
        <v>1.2</v>
      </c>
      <c r="AA47" s="10">
        <v>3</v>
      </c>
      <c r="AB47" s="10" t="s">
        <v>107</v>
      </c>
      <c r="AC47" s="10" t="s">
        <v>98</v>
      </c>
      <c r="AD47" s="10" t="s">
        <v>99</v>
      </c>
      <c r="AE47" s="10" t="s">
        <v>104</v>
      </c>
      <c r="AF47" s="20">
        <f t="shared" si="8"/>
        <v>1.2</v>
      </c>
      <c r="AG47" s="13">
        <f t="shared" si="1"/>
        <v>0</v>
      </c>
      <c r="AH47" s="7">
        <f t="shared" si="2"/>
        <v>10</v>
      </c>
      <c r="AI47" s="7">
        <f t="shared" si="3"/>
        <v>10</v>
      </c>
      <c r="AJ47" s="7">
        <f t="shared" si="4"/>
        <v>5</v>
      </c>
      <c r="AK47" s="7">
        <f t="shared" si="5"/>
        <v>3</v>
      </c>
      <c r="AL47" s="12">
        <f t="shared" si="9"/>
        <v>28</v>
      </c>
      <c r="AM47" s="14" t="str">
        <f t="shared" si="7"/>
        <v>Barrier</v>
      </c>
      <c r="AN47" s="10" t="s">
        <v>196</v>
      </c>
      <c r="AO47" s="21">
        <v>3</v>
      </c>
      <c r="AP47" s="10" t="s">
        <v>194</v>
      </c>
    </row>
    <row r="48" spans="1:42">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HTbFO8e26NvMCuMb5EYbNpHber0GjJ+mzbFgoe3WQjsRYhguxXkkAiMyp/5D5LY3NwR5cWRC4f+9TgynipnudQ==" saltValue="NMqIkIjaTVFqWw+vGgDX0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4">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2 Q42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2 N42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5:M47 M43 M33:M41 M5:M31" xr:uid="{570CFEBD-71A2-B74B-A210-955F21DBB481}">
      <formula1>"Round Culvert,Oval Culvert,Concrete Box"</formula1>
    </dataValidation>
    <dataValidation type="decimal" allowBlank="1" showInputMessage="1" showErrorMessage="1" errorTitle="Invalid Diamter or Span" error="The Diameter or Span entered is invalid. Diameter or Span must be &gt; 0 and &lt; 300" sqref="N45:N47 N43 N33:N41 N5:N31" xr:uid="{A9771709-3646-524F-8663-D11C7B858E7E}">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Q33" xr:uid="{5C488EED-719F-294D-9215-76080A5F0FE7}">
      <formula1>0.01</formula1>
      <formula2>1.59</formula2>
    </dataValidation>
    <dataValidation type="decimal" allowBlank="1" showInputMessage="1" showErrorMessage="1" errorTitle="Invalid value entered" error="The Average Depth Embededdment you entered is invalid. The Average Depth Embededdment must be &lt;= 0.74 and &gt;= 0.01" sqref="Q6 Q37" xr:uid="{28BFDF95-60EE-F34B-9D09-7D01A67EF8A4}">
      <formula1>0.01</formula1>
      <formula2>0.74</formula2>
    </dataValidation>
    <dataValidation type="decimal" allowBlank="1" showInputMessage="1" showErrorMessage="1" errorTitle="Invalid value entered" error="The Average Depth Embededdment you entered is invalid. The Average Depth Embededdment must be &lt;= 1.99 and &gt;= 0.01" sqref="Q7 Q17" xr:uid="{F5AEA0EE-514A-9E49-B899-06DED2ADAD99}">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8 Q39 Q35 Q30 Q23" xr:uid="{65AB1A12-4B6F-9A43-869E-90C15E7A7230}">
      <formula1>0.01</formula1>
      <formula2>0.89</formula2>
    </dataValidation>
    <dataValidation type="decimal" allowBlank="1" showInputMessage="1" showErrorMessage="1" errorTitle="Invalid value entered" error="The Average Depth Embededdment you entered is invalid. The Average Depth Embededdment must be &lt;= 4.49 and &gt;= 0.01" sqref="Q9" xr:uid="{567AE2EF-E8EC-8A41-B157-A1B8315EDD22}">
      <formula1>0.01</formula1>
      <formula2>4.49</formula2>
    </dataValidation>
    <dataValidation type="decimal" allowBlank="1" showInputMessage="1" showErrorMessage="1" errorTitle="Invalid value entered" error="The Average Depth Embededdment you entered is invalid. The Average Depth Embededdment must be &lt;= 1.24 and &gt;= 0.01" sqref="Q10" xr:uid="{B6603239-0AA1-054E-BF64-1F6E9AE92854}">
      <formula1>0.01</formula1>
      <formula2>1.24</formula2>
    </dataValidation>
    <dataValidation type="decimal" allowBlank="1" showInputMessage="1" showErrorMessage="1" errorTitle="Invalid value entered" error="The Average Depth Embededdment you entered is invalid. The Average Depth Embededdment must be &lt;= 1.79 and &gt;= 0.01" sqref="Q11" xr:uid="{F03F3E1B-90F8-C244-A31F-77A3ED2C3B59}">
      <formula1>0.01</formula1>
      <formula2>1.79</formula2>
    </dataValidation>
    <dataValidation type="decimal" allowBlank="1" showInputMessage="1" showErrorMessage="1" errorTitle="Invalid value entered" error="The Average Depth Embededdment you entered is invalid. The Average Depth Embededdment must be &lt;= 1.49 and &gt;= 0.01" sqref="Q31 Q29 Q24 Q15:Q16 Q12:Q13" xr:uid="{F8D9B2F6-EA5E-DB49-8541-46FB10DEE61F}">
      <formula1>0.01</formula1>
      <formula2>1.49</formula2>
    </dataValidation>
    <dataValidation type="decimal" allowBlank="1" showInputMessage="1" showErrorMessage="1" errorTitle="Invalid value entered" error="The Average Depth Embededdment you entered is invalid. The Average Depth Embededdment must be &lt;= 1.69 and &gt;= 0.01" sqref="Q14" xr:uid="{977CEA14-EB66-3C45-A47A-3CD20A87A21E}">
      <formula1>0.01</formula1>
      <formula2>1.69</formula2>
    </dataValidation>
    <dataValidation type="decimal" allowBlank="1" showInputMessage="1" showErrorMessage="1" errorTitle="Invalid value entered" error="The Average Depth Embededdment you entered is invalid. The Average Depth Embededdment must be &lt;= 3.09 and &gt;= 0.01" sqref="Q18" xr:uid="{79F3526F-6BBB-1942-AD79-FE10689A5768}">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19 Q47 Q40 Q28" xr:uid="{DCDDDB17-0076-A849-9456-D7AE67D044FB}">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20" xr:uid="{A73BEAAB-0C63-034C-A342-2F7E6FF06AD8}">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21" xr:uid="{7FB13CDD-5014-E04B-93F5-D48F095ABCFC}">
      <formula1>0.01</formula1>
      <formula2>4.79</formula2>
    </dataValidation>
    <dataValidation type="decimal" allowBlank="1" showInputMessage="1" showErrorMessage="1" errorTitle="Invalid value entered" error="The Average Depth Embededdment you entered is invalid. The Average Depth Embededdment must be &lt;= 4.99 and &gt;= 0.01" sqref="Q22 Q44" xr:uid="{73296426-7B77-EB4B-8E45-2E91462FB541}">
      <formula1>0.01</formula1>
      <formula2>4.99</formula2>
    </dataValidation>
    <dataValidation type="decimal" allowBlank="1" showInputMessage="1" showErrorMessage="1" errorTitle="Invalid value entered" error="The Average Depth Embededdment you entered is invalid. The Average Depth Embededdment must be &lt;= 0.59 and &gt;= 0.01" sqref="Q25 Q46 Q43 Q27" xr:uid="{B6F2D605-6F05-A942-8F82-6CE9FBAE2195}">
      <formula1>0.01</formula1>
      <formula2>0.59</formula2>
    </dataValidation>
    <dataValidation type="decimal" allowBlank="1" showInputMessage="1" showErrorMessage="1" errorTitle="Invalid value entered" error="The Average Depth Embededdment you entered is invalid. The Average Depth Embededdment must be &lt;= 3.49 and &gt;= 0.01" sqref="Q26" xr:uid="{FFA78021-21F5-9544-A388-6AD65B155CE8}">
      <formula1>0.01</formula1>
      <formula2>3.49</formula2>
    </dataValidation>
    <dataValidation type="list" allowBlank="1" showInputMessage="1" showErrorMessage="1" errorTitle="Invalid value entered" error="The crossing subtype is not compatible with a crossing type of Other" sqref="M32 M42" xr:uid="{FE79A2C5-2369-F545-8CAF-06AEDB69E600}">
      <formula1>"Ford"</formula1>
    </dataValidation>
    <dataValidation type="decimal" allowBlank="1" showInputMessage="1" showErrorMessage="1" errorTitle="Invalid value entered" error="The Average Depth Embededdment you entered is invalid. The Average Depth Embededdment must be &lt;= 1.19 and &gt;= 0.01" sqref="Q34 Q41 Q36" xr:uid="{AA95FE8F-1A52-A342-93C8-318DF7C67044}">
      <formula1>0.01</formula1>
      <formula2>1.19</formula2>
    </dataValidation>
    <dataValidation type="decimal" allowBlank="1" showInputMessage="1" showErrorMessage="1" errorTitle="Invalid value entered" error="The Average Depth Embededdment you entered is invalid. The Average Depth Embededdment must be &lt;= 1.29 and &gt;= 0.01" sqref="Q38" xr:uid="{68414F7B-07A2-4D40-95B6-505DB43C1A35}">
      <formula1>0.01</formula1>
      <formula2>1.29</formula2>
    </dataValidation>
    <dataValidation type="list" allowBlank="1" showInputMessage="1" showErrorMessage="1" errorTitle="Invalid value entered" error="The crossing subtype is not compatible with a crossing type of Open Bottom Structure" sqref="M44" xr:uid="{90E7A2FD-9E6A-CF4A-8CBA-00A40FAAFA43}">
      <formula1>"Bridge, Pipe Arch, Wood Box Culvert"</formula1>
    </dataValidation>
    <dataValidation type="decimal" allowBlank="1" showInputMessage="1" showErrorMessage="1" errorTitle="Invalid Diamter or Span" error="The Diameter or Span entered is invalid. Diameter or Span must be &gt; 0 and &lt; 100" sqref="N44" xr:uid="{BC5457A6-DDBB-1C49-8EEF-D3A0EA324681}">
      <formula1>0.01</formula1>
      <formula2>100</formula2>
    </dataValidation>
    <dataValidation type="decimal" allowBlank="1" showInputMessage="1" showErrorMessage="1" errorTitle="Invalid value entered" error="The Average Depth Embededdment you entered is invalid. The Average Depth Embededdment must be &lt;= 1.09 and &gt;= 0.01" sqref="Q45" xr:uid="{F0CF43FA-4E61-3346-B54B-790529CBA749}">
      <formula1>0.01</formula1>
      <formula2>1.09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2024-04-15T14:08:38Z</dcterms:modified>
</cp:coreProperties>
</file>