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12637520-BF90-47B9-9325-75F01BFEC110}"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6"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L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L597" i="2" s="1"/>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L950" i="2" s="1"/>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L1455" i="2" s="1"/>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L1486" i="2" s="1"/>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L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s="1"/>
  <c r="AL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L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L2314" i="2" s="1"/>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L2414" i="2" s="1"/>
  <c r="AI2414" i="2"/>
  <c r="AJ2414" i="2"/>
  <c r="AF2415" i="2"/>
  <c r="AK2415" i="2" s="1"/>
  <c r="AG2415" i="2"/>
  <c r="AH2415" i="2"/>
  <c r="AI2415" i="2"/>
  <c r="AJ2415" i="2"/>
  <c r="AF2416" i="2"/>
  <c r="AK2416" i="2"/>
  <c r="AL2416" i="2"/>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L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L2544" i="2" s="1"/>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L2568" i="2" s="1"/>
  <c r="AF2569" i="2"/>
  <c r="AK2569" i="2" s="1"/>
  <c r="AG2569" i="2"/>
  <c r="AH2569" i="2"/>
  <c r="AI2569" i="2"/>
  <c r="AJ2569" i="2"/>
  <c r="AF2570" i="2"/>
  <c r="AK2570" i="2"/>
  <c r="AG2570" i="2"/>
  <c r="AH2570" i="2"/>
  <c r="AI2570" i="2"/>
  <c r="AJ2570" i="2"/>
  <c r="AF2571" i="2"/>
  <c r="AK2571" i="2" s="1"/>
  <c r="AL2571" i="2" s="1"/>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L2606" i="2"/>
  <c r="AF2607" i="2"/>
  <c r="AK2607" i="2" s="1"/>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L2622" i="2" s="1"/>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L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L2673" i="2" s="1"/>
  <c r="AG2673" i="2"/>
  <c r="AH2673" i="2"/>
  <c r="AI2673" i="2"/>
  <c r="AJ2673" i="2"/>
  <c r="AF2674" i="2"/>
  <c r="AK2674" i="2" s="1"/>
  <c r="AG2674" i="2"/>
  <c r="AH2674" i="2"/>
  <c r="AI2674" i="2"/>
  <c r="AL2674" i="2" s="1"/>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c r="AL2690" i="2" s="1"/>
  <c r="AG2690" i="2"/>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s="1"/>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s="1"/>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L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L3018" i="2"/>
  <c r="AI3018" i="2"/>
  <c r="AJ3018" i="2"/>
  <c r="AF3019" i="2"/>
  <c r="AK3019" i="2" s="1"/>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c r="AG3255" i="2"/>
  <c r="AH3255" i="2"/>
  <c r="AI3255" i="2"/>
  <c r="AL3255" i="2" s="1"/>
  <c r="AJ3255" i="2"/>
  <c r="AF3256" i="2"/>
  <c r="AK3256" i="2" s="1"/>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L3284" i="2" s="1"/>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c r="AG3307" i="2"/>
  <c r="AH3307" i="2"/>
  <c r="AI3307" i="2"/>
  <c r="AL3307" i="2" s="1"/>
  <c r="AJ3307" i="2"/>
  <c r="AF3308" i="2"/>
  <c r="AK3308" i="2" s="1"/>
  <c r="AG3308" i="2"/>
  <c r="AH3308" i="2"/>
  <c r="AI3308" i="2"/>
  <c r="AJ3308" i="2"/>
  <c r="AF3309" i="2"/>
  <c r="AK3309" i="2"/>
  <c r="AG3309" i="2"/>
  <c r="AH3309" i="2"/>
  <c r="AL3309" i="2" s="1"/>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L3378" i="2" s="1"/>
  <c r="AF3379" i="2"/>
  <c r="AK3379" i="2"/>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L3442" i="2" s="1"/>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L3491" i="2" s="1"/>
  <c r="AG3491" i="2"/>
  <c r="AH3491" i="2"/>
  <c r="AI3491" i="2"/>
  <c r="AJ3491" i="2"/>
  <c r="AF3492" i="2"/>
  <c r="AK3492" i="2"/>
  <c r="AG3492" i="2"/>
  <c r="AH3492" i="2"/>
  <c r="AL3492" i="2" s="1"/>
  <c r="AI3492" i="2"/>
  <c r="AJ3492" i="2"/>
  <c r="AF3493" i="2"/>
  <c r="AK3493" i="2"/>
  <c r="AG3493" i="2"/>
  <c r="AL3493" i="2" s="1"/>
  <c r="AH3493" i="2"/>
  <c r="AI3493" i="2"/>
  <c r="AJ3493" i="2"/>
  <c r="AF3494" i="2"/>
  <c r="AG3494" i="2"/>
  <c r="AH3494" i="2"/>
  <c r="AI3494" i="2"/>
  <c r="AJ3494" i="2"/>
  <c r="AK3494" i="2"/>
  <c r="AL3494" i="2"/>
  <c r="AF3495" i="2"/>
  <c r="AK3495" i="2" s="1"/>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L3499" i="2" s="1"/>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L3506" i="2" s="1"/>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s="1"/>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L3530" i="2" s="1"/>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L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L3583" i="2" s="1"/>
  <c r="AG3583" i="2"/>
  <c r="AH3583" i="2"/>
  <c r="AI3583" i="2"/>
  <c r="AJ3583" i="2"/>
  <c r="AF3584" i="2"/>
  <c r="AK3584" i="2"/>
  <c r="AG3584" i="2"/>
  <c r="AH3584" i="2"/>
  <c r="AI3584" i="2"/>
  <c r="AJ3584" i="2"/>
  <c r="AF3585" i="2"/>
  <c r="AK3585" i="2" s="1"/>
  <c r="AG3585" i="2"/>
  <c r="AH3585" i="2"/>
  <c r="AI3585" i="2"/>
  <c r="AJ3585" i="2"/>
  <c r="AF3586" i="2"/>
  <c r="AK3586" i="2" s="1"/>
  <c r="AL3586" i="2" s="1"/>
  <c r="AG3586" i="2"/>
  <c r="AH3586" i="2"/>
  <c r="AI3586" i="2"/>
  <c r="AJ3586" i="2"/>
  <c r="AF3587" i="2"/>
  <c r="AK3587" i="2" s="1"/>
  <c r="AG3587" i="2"/>
  <c r="AH3587" i="2"/>
  <c r="AI3587" i="2"/>
  <c r="AJ3587" i="2"/>
  <c r="AF3588" i="2"/>
  <c r="AK3588" i="2"/>
  <c r="AG3588" i="2"/>
  <c r="AH3588" i="2"/>
  <c r="AI3588" i="2"/>
  <c r="AJ3588" i="2"/>
  <c r="AF3589" i="2"/>
  <c r="AK3589" i="2" s="1"/>
  <c r="AL3589" i="2" s="1"/>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c r="AG3611" i="2"/>
  <c r="AH3611" i="2"/>
  <c r="AL3611" i="2" s="1"/>
  <c r="AI3611" i="2"/>
  <c r="AJ3611" i="2"/>
  <c r="AF3612" i="2"/>
  <c r="AK3612" i="2" s="1"/>
  <c r="AG3612" i="2"/>
  <c r="AH3612" i="2"/>
  <c r="AI3612" i="2"/>
  <c r="AJ3612" i="2"/>
  <c r="AF3613" i="2"/>
  <c r="AK3613" i="2"/>
  <c r="AG3613" i="2"/>
  <c r="AH3613" i="2"/>
  <c r="AL3613" i="2" s="1"/>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L3634" i="2" s="1"/>
  <c r="AG3634" i="2"/>
  <c r="AH3634" i="2"/>
  <c r="AI3634" i="2"/>
  <c r="AJ3634" i="2"/>
  <c r="AF3635" i="2"/>
  <c r="AK3635" i="2"/>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c r="AG3639" i="2"/>
  <c r="AH3639" i="2"/>
  <c r="AI3639" i="2"/>
  <c r="AJ3639" i="2"/>
  <c r="AF3640" i="2"/>
  <c r="AK3640" i="2" s="1"/>
  <c r="AL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s="1"/>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L3675" i="2" s="1"/>
  <c r="AG3675" i="2"/>
  <c r="AH3675" i="2"/>
  <c r="AI3675" i="2"/>
  <c r="AJ3675" i="2"/>
  <c r="AF3676" i="2"/>
  <c r="AK3676" i="2"/>
  <c r="AG3676" i="2"/>
  <c r="AL3676" i="2" s="1"/>
  <c r="AH3676" i="2"/>
  <c r="AI3676" i="2"/>
  <c r="AJ3676" i="2"/>
  <c r="AF3677" i="2"/>
  <c r="AK3677" i="2" s="1"/>
  <c r="AG3677" i="2"/>
  <c r="AH3677" i="2"/>
  <c r="AI3677" i="2"/>
  <c r="AJ3677" i="2"/>
  <c r="AF3678" i="2"/>
  <c r="AK3678" i="2" s="1"/>
  <c r="AL3678" i="2" s="1"/>
  <c r="AG3678" i="2"/>
  <c r="AH3678" i="2"/>
  <c r="AI3678" i="2"/>
  <c r="AJ3678" i="2"/>
  <c r="AF3679" i="2"/>
  <c r="AK3679" i="2" s="1"/>
  <c r="AG3679" i="2"/>
  <c r="AH3679" i="2"/>
  <c r="AI3679" i="2"/>
  <c r="AJ3679" i="2"/>
  <c r="AF3680" i="2"/>
  <c r="AK3680" i="2"/>
  <c r="AG3680" i="2"/>
  <c r="AH3680" i="2"/>
  <c r="AI3680" i="2"/>
  <c r="AJ3680" i="2"/>
  <c r="AF3681" i="2"/>
  <c r="AK3681" i="2" s="1"/>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L3695" i="2" s="1"/>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L3699" i="2" s="1"/>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G3716" i="2"/>
  <c r="AL3716" i="2" s="1"/>
  <c r="AH3716" i="2"/>
  <c r="AI3716" i="2"/>
  <c r="AJ3716" i="2"/>
  <c r="AF3717" i="2"/>
  <c r="AK3717" i="2" s="1"/>
  <c r="AG3717" i="2"/>
  <c r="AH3717" i="2"/>
  <c r="AI3717" i="2"/>
  <c r="AJ3717" i="2"/>
  <c r="AF3718" i="2"/>
  <c r="AK3718" i="2" s="1"/>
  <c r="AG3718" i="2"/>
  <c r="AH3718" i="2"/>
  <c r="AI3718" i="2"/>
  <c r="AJ3718" i="2"/>
  <c r="AF3719" i="2"/>
  <c r="AK3719" i="2"/>
  <c r="AL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I3726" i="2"/>
  <c r="AJ3726" i="2"/>
  <c r="AL3726" i="2" s="1"/>
  <c r="AF3727" i="2"/>
  <c r="AK3727" i="2" s="1"/>
  <c r="AG3727" i="2"/>
  <c r="AH3727" i="2"/>
  <c r="AI3727" i="2"/>
  <c r="AJ3727" i="2"/>
  <c r="AF3728" i="2"/>
  <c r="AK3728" i="2"/>
  <c r="AL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L3733" i="2" s="1"/>
  <c r="AH3733" i="2"/>
  <c r="AI3733" i="2"/>
  <c r="AJ3733" i="2"/>
  <c r="AF3734" i="2"/>
  <c r="AK3734" i="2"/>
  <c r="AG3734" i="2"/>
  <c r="AH3734" i="2"/>
  <c r="AI3734" i="2"/>
  <c r="AL3734" i="2" s="1"/>
  <c r="AJ3734" i="2"/>
  <c r="AF3735" i="2"/>
  <c r="AK3735" i="2"/>
  <c r="AG3735" i="2"/>
  <c r="AL3735" i="2" s="1"/>
  <c r="AH3735" i="2"/>
  <c r="AI3735" i="2"/>
  <c r="AJ3735" i="2"/>
  <c r="AF3736" i="2"/>
  <c r="AK3736" i="2" s="1"/>
  <c r="AL3736" i="2" s="1"/>
  <c r="AG3736" i="2"/>
  <c r="AH3736" i="2"/>
  <c r="AI3736" i="2"/>
  <c r="AJ3736" i="2"/>
  <c r="AF3737" i="2"/>
  <c r="AK3737" i="2"/>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L3741" i="2" s="1"/>
  <c r="AI3741" i="2"/>
  <c r="AJ3741" i="2"/>
  <c r="AF3742" i="2"/>
  <c r="AK3742" i="2"/>
  <c r="AL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s="1"/>
  <c r="AL3752" i="2" s="1"/>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c r="AG3759" i="2"/>
  <c r="AH3759" i="2"/>
  <c r="AI3759" i="2"/>
  <c r="AJ3759" i="2"/>
  <c r="AF3760" i="2"/>
  <c r="AK3760" i="2" s="1"/>
  <c r="AG3760" i="2"/>
  <c r="AH3760" i="2"/>
  <c r="AI3760" i="2"/>
  <c r="AJ3760" i="2"/>
  <c r="AF3761" i="2"/>
  <c r="AK3761" i="2"/>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J3764" i="2"/>
  <c r="AL3764" i="2" s="1"/>
  <c r="AF3765" i="2"/>
  <c r="AK3765" i="2" s="1"/>
  <c r="AG3765" i="2"/>
  <c r="AH3765" i="2"/>
  <c r="AI3765" i="2"/>
  <c r="AJ3765" i="2"/>
  <c r="AF3766" i="2"/>
  <c r="AK3766" i="2"/>
  <c r="AL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H3775" i="2"/>
  <c r="AL3775" i="2" s="1"/>
  <c r="AI3775" i="2"/>
  <c r="AJ3775" i="2"/>
  <c r="AF3776" i="2"/>
  <c r="AK3776" i="2"/>
  <c r="AG3776" i="2"/>
  <c r="AL3776" i="2" s="1"/>
  <c r="AH3776" i="2"/>
  <c r="AI3776" i="2"/>
  <c r="AJ3776" i="2"/>
  <c r="AF3777" i="2"/>
  <c r="AK3777" i="2"/>
  <c r="AG3777" i="2"/>
  <c r="AH3777" i="2"/>
  <c r="AI3777" i="2"/>
  <c r="AL3777" i="2" s="1"/>
  <c r="AJ3777" i="2"/>
  <c r="AF3778" i="2"/>
  <c r="AK3778" i="2"/>
  <c r="AG3778" i="2"/>
  <c r="AH3778" i="2"/>
  <c r="AI3778" i="2"/>
  <c r="AJ3778" i="2"/>
  <c r="AF3779" i="2"/>
  <c r="AK3779" i="2" s="1"/>
  <c r="AL3779" i="2" s="1"/>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L3790" i="2" s="1"/>
  <c r="AF3791" i="2"/>
  <c r="AK3791" i="2" s="1"/>
  <c r="AG3791" i="2"/>
  <c r="AH3791" i="2"/>
  <c r="AI3791" i="2"/>
  <c r="AJ3791" i="2"/>
  <c r="AF3792" i="2"/>
  <c r="AK3792" i="2"/>
  <c r="AG3792" i="2"/>
  <c r="AH3792" i="2"/>
  <c r="AI3792" i="2"/>
  <c r="AJ3792" i="2"/>
  <c r="AF3793" i="2"/>
  <c r="AK3793" i="2" s="1"/>
  <c r="AL3793" i="2" s="1"/>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L3809" i="2" s="1"/>
  <c r="AH3809" i="2"/>
  <c r="AI3809" i="2"/>
  <c r="AJ3809" i="2"/>
  <c r="AF3810" i="2"/>
  <c r="AK3810" i="2"/>
  <c r="AG3810" i="2"/>
  <c r="AL3810" i="2" s="1"/>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G3830" i="2"/>
  <c r="AL3830" i="2" s="1"/>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L3835" i="2" s="1"/>
  <c r="AH3835" i="2"/>
  <c r="AI3835" i="2"/>
  <c r="AJ3835" i="2"/>
  <c r="AF3836" i="2"/>
  <c r="AK3836" i="2" s="1"/>
  <c r="AL3836" i="2" s="1"/>
  <c r="AG3836" i="2"/>
  <c r="AH3836" i="2"/>
  <c r="AI3836" i="2"/>
  <c r="AJ3836" i="2"/>
  <c r="AF3837" i="2"/>
  <c r="AK3837" i="2" s="1"/>
  <c r="AG3837" i="2"/>
  <c r="AH3837" i="2"/>
  <c r="AI3837" i="2"/>
  <c r="AJ3837" i="2"/>
  <c r="AF3838" i="2"/>
  <c r="AK3838" i="2" s="1"/>
  <c r="AG3838" i="2"/>
  <c r="AH3838" i="2"/>
  <c r="AI3838" i="2"/>
  <c r="AJ3838" i="2"/>
  <c r="AF3839" i="2"/>
  <c r="AK3839" i="2"/>
  <c r="AL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L3849" i="2" s="1"/>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L3864" i="2" s="1"/>
  <c r="AH3864" i="2"/>
  <c r="AI3864" i="2"/>
  <c r="AJ3864" i="2"/>
  <c r="AF3865" i="2"/>
  <c r="AK3865" i="2"/>
  <c r="AG3865" i="2"/>
  <c r="AH3865" i="2"/>
  <c r="AI3865" i="2"/>
  <c r="AL3865" i="2" s="1"/>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L3884" i="2" s="1"/>
  <c r="AG3884" i="2"/>
  <c r="AH3884" i="2"/>
  <c r="AI3884" i="2"/>
  <c r="AJ3884" i="2"/>
  <c r="AF3885" i="2"/>
  <c r="AK3885" i="2"/>
  <c r="AG3885" i="2"/>
  <c r="AH3885" i="2"/>
  <c r="AI3885" i="2"/>
  <c r="AJ3885" i="2"/>
  <c r="AF3886" i="2"/>
  <c r="AK3886" i="2"/>
  <c r="AG3886" i="2"/>
  <c r="AL3886" i="2" s="1"/>
  <c r="AH3886" i="2"/>
  <c r="AI3886" i="2"/>
  <c r="AJ3886" i="2"/>
  <c r="AF3887" i="2"/>
  <c r="AK3887" i="2"/>
  <c r="AG3887" i="2"/>
  <c r="AH3887" i="2"/>
  <c r="AI3887" i="2"/>
  <c r="AL3887" i="2" s="1"/>
  <c r="AJ3887" i="2"/>
  <c r="AF3888" i="2"/>
  <c r="AK3888" i="2"/>
  <c r="AG3888" i="2"/>
  <c r="AH3888" i="2"/>
  <c r="AI3888" i="2"/>
  <c r="AJ3888" i="2"/>
  <c r="AF3889" i="2"/>
  <c r="AK3889" i="2" s="1"/>
  <c r="AL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L3900" i="2" s="1"/>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G3908" i="2"/>
  <c r="AH3908" i="2"/>
  <c r="AL3908" i="2" s="1"/>
  <c r="AI3908" i="2"/>
  <c r="AJ3908" i="2"/>
  <c r="AF3909" i="2"/>
  <c r="AK3909" i="2" s="1"/>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s="1"/>
  <c r="AL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L3924" i="2" s="1"/>
  <c r="AH3924" i="2"/>
  <c r="AI3924" i="2"/>
  <c r="AJ3924" i="2"/>
  <c r="AF3925" i="2"/>
  <c r="AK3925" i="2"/>
  <c r="AG3925" i="2"/>
  <c r="AH3925" i="2"/>
  <c r="AI3925" i="2"/>
  <c r="AJ3925" i="2"/>
  <c r="AF3926" i="2"/>
  <c r="AK3926" i="2" s="1"/>
  <c r="AG3926" i="2"/>
  <c r="AH3926" i="2"/>
  <c r="AI3926" i="2"/>
  <c r="AJ3926" i="2"/>
  <c r="AF3927" i="2"/>
  <c r="AK3927" i="2" s="1"/>
  <c r="AG3927" i="2"/>
  <c r="AL3927" i="2" s="1"/>
  <c r="AH3927" i="2"/>
  <c r="AI3927" i="2"/>
  <c r="AJ3927" i="2"/>
  <c r="AF3928" i="2"/>
  <c r="AK3928" i="2" s="1"/>
  <c r="AG3928" i="2"/>
  <c r="AH3928" i="2"/>
  <c r="AL3928" i="2" s="1"/>
  <c r="AI3928" i="2"/>
  <c r="AJ3928" i="2"/>
  <c r="AF3929" i="2"/>
  <c r="AK3929" i="2"/>
  <c r="AG3929" i="2"/>
  <c r="AH3929" i="2"/>
  <c r="AI3929" i="2"/>
  <c r="AJ3929" i="2"/>
  <c r="AF3930" i="2"/>
  <c r="AK3930" i="2" s="1"/>
  <c r="AG3930" i="2"/>
  <c r="AH3930" i="2"/>
  <c r="AI3930" i="2"/>
  <c r="AJ3930" i="2"/>
  <c r="AF3931" i="2"/>
  <c r="AK3931" i="2" s="1"/>
  <c r="AG3931" i="2"/>
  <c r="AH3931" i="2"/>
  <c r="AI3931" i="2"/>
  <c r="AJ3931" i="2"/>
  <c r="AL3931" i="2" s="1"/>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c r="AG3946" i="2"/>
  <c r="AL3946" i="2" s="1"/>
  <c r="AH3946" i="2"/>
  <c r="AI3946" i="2"/>
  <c r="AJ3946" i="2"/>
  <c r="AF3947" i="2"/>
  <c r="AK3947" i="2"/>
  <c r="AG3947" i="2"/>
  <c r="AH3947" i="2"/>
  <c r="AL3947" i="2" s="1"/>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L3952" i="2" s="1"/>
  <c r="AG3952" i="2"/>
  <c r="AH3952" i="2"/>
  <c r="AI3952" i="2"/>
  <c r="AJ3952" i="2"/>
  <c r="AF3953" i="2"/>
  <c r="AK3953" i="2" s="1"/>
  <c r="AG3953" i="2"/>
  <c r="AH3953" i="2"/>
  <c r="AI3953" i="2"/>
  <c r="AL3953" i="2" s="1"/>
  <c r="AJ3953" i="2"/>
  <c r="AF3954" i="2"/>
  <c r="AK3954" i="2"/>
  <c r="AG3954" i="2"/>
  <c r="AH3954" i="2"/>
  <c r="AI3954" i="2"/>
  <c r="AJ3954" i="2"/>
  <c r="AF3955" i="2"/>
  <c r="AK3955" i="2" s="1"/>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L3986" i="2" s="1"/>
  <c r="AI3986" i="2"/>
  <c r="AJ3986" i="2"/>
  <c r="AF3987" i="2"/>
  <c r="AK3987" i="2" s="1"/>
  <c r="AG3987" i="2"/>
  <c r="AH3987" i="2"/>
  <c r="AI3987" i="2"/>
  <c r="AJ3987" i="2"/>
  <c r="AF3988" i="2"/>
  <c r="AK3988" i="2" s="1"/>
  <c r="AL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s="1"/>
  <c r="AL3993" i="2" s="1"/>
  <c r="AG3993" i="2"/>
  <c r="AH3993" i="2"/>
  <c r="AI3993" i="2"/>
  <c r="AJ3993" i="2"/>
  <c r="AF3994" i="2"/>
  <c r="AK3994" i="2"/>
  <c r="AG3994" i="2"/>
  <c r="AH3994" i="2"/>
  <c r="AI3994" i="2"/>
  <c r="AJ3994" i="2"/>
  <c r="AF3995" i="2"/>
  <c r="AK3995" i="2" s="1"/>
  <c r="AL3995" i="2" s="1"/>
  <c r="AG3995" i="2"/>
  <c r="AH3995" i="2"/>
  <c r="AI3995" i="2"/>
  <c r="AJ3995" i="2"/>
  <c r="AF3996" i="2"/>
  <c r="AK3996" i="2" s="1"/>
  <c r="AG3996" i="2"/>
  <c r="AH3996" i="2"/>
  <c r="AI3996" i="2"/>
  <c r="AJ3996" i="2"/>
  <c r="AF3997" i="2"/>
  <c r="AK3997" i="2" s="1"/>
  <c r="AG3997" i="2"/>
  <c r="AH3997" i="2"/>
  <c r="AI3997" i="2"/>
  <c r="AJ3997" i="2"/>
  <c r="AF3998" i="2"/>
  <c r="AK3998" i="2"/>
  <c r="AL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L4008" i="2" s="1"/>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c r="AG4022" i="2"/>
  <c r="AH4022" i="2"/>
  <c r="AI4022" i="2"/>
  <c r="AJ4022" i="2"/>
  <c r="AF4023" i="2"/>
  <c r="AK4023" i="2" s="1"/>
  <c r="AG4023" i="2"/>
  <c r="AH4023" i="2"/>
  <c r="AI4023" i="2"/>
  <c r="AJ4023" i="2"/>
  <c r="AF4024" i="2"/>
  <c r="AK4024" i="2" s="1"/>
  <c r="AL4024" i="2" s="1"/>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L4040" i="2" s="1"/>
  <c r="AF4041" i="2"/>
  <c r="AK4041" i="2" s="1"/>
  <c r="AG4041" i="2"/>
  <c r="AH4041" i="2"/>
  <c r="AI4041" i="2"/>
  <c r="AJ4041" i="2"/>
  <c r="AF4042" i="2"/>
  <c r="AK4042" i="2"/>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L4082" i="2" s="1"/>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L4098" i="2" s="1"/>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L4109" i="2" s="1"/>
  <c r="AF4110" i="2"/>
  <c r="AK4110" i="2" s="1"/>
  <c r="AG4110" i="2"/>
  <c r="AH4110" i="2"/>
  <c r="AI4110" i="2"/>
  <c r="AJ4110" i="2"/>
  <c r="AF4111" i="2"/>
  <c r="AK4111" i="2"/>
  <c r="AG4111" i="2"/>
  <c r="AH4111" i="2"/>
  <c r="AL4111" i="2" s="1"/>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L4119" i="2" s="1"/>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L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s="1"/>
  <c r="AG4131" i="2"/>
  <c r="AH4131" i="2"/>
  <c r="AI4131" i="2"/>
  <c r="AJ4131" i="2"/>
  <c r="AL4131" i="2" s="1"/>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L4145" i="2" s="1"/>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L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L4204" i="2" s="1"/>
  <c r="AG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L4208" i="2" s="1"/>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s="1"/>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H4257" i="2"/>
  <c r="AL4257" i="2" s="1"/>
  <c r="AI4257" i="2"/>
  <c r="AJ4257" i="2"/>
  <c r="AF4258" i="2"/>
  <c r="AK4258" i="2"/>
  <c r="AG4258" i="2"/>
  <c r="AH4258" i="2"/>
  <c r="AI4258" i="2"/>
  <c r="AJ4258" i="2"/>
  <c r="AF4259" i="2"/>
  <c r="AK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L4265" i="2" s="1"/>
  <c r="AJ4265" i="2"/>
  <c r="AF4266" i="2"/>
  <c r="AK4266" i="2"/>
  <c r="AG4266" i="2"/>
  <c r="AH4266" i="2"/>
  <c r="AI4266" i="2"/>
  <c r="AJ4266" i="2"/>
  <c r="AF4267" i="2"/>
  <c r="AK4267" i="2" s="1"/>
  <c r="AG4267" i="2"/>
  <c r="AH4267" i="2"/>
  <c r="AI4267" i="2"/>
  <c r="AJ4267" i="2"/>
  <c r="AF4268" i="2"/>
  <c r="AK4268" i="2"/>
  <c r="AG4268" i="2"/>
  <c r="AH4268" i="2"/>
  <c r="AI4268" i="2"/>
  <c r="AJ4268" i="2"/>
  <c r="AF4269" i="2"/>
  <c r="AK4269" i="2"/>
  <c r="AG4269" i="2"/>
  <c r="AH4269" i="2"/>
  <c r="AL4269" i="2" s="1"/>
  <c r="AI4269" i="2"/>
  <c r="AJ4269" i="2"/>
  <c r="AF4270" i="2"/>
  <c r="AK4270" i="2" s="1"/>
  <c r="AG4270" i="2"/>
  <c r="AH4270" i="2"/>
  <c r="AI4270" i="2"/>
  <c r="AJ4270" i="2"/>
  <c r="AF4271" i="2"/>
  <c r="AK4271" i="2"/>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L4280" i="2" s="1"/>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L4295" i="2" s="1"/>
  <c r="AG4295" i="2"/>
  <c r="AH4295" i="2"/>
  <c r="AI4295" i="2"/>
  <c r="AJ4295" i="2"/>
  <c r="AF4296" i="2"/>
  <c r="AK4296" i="2"/>
  <c r="AL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L4311" i="2" s="1"/>
  <c r="AI4311" i="2"/>
  <c r="AJ4311" i="2"/>
  <c r="AF4312" i="2"/>
  <c r="AK4312" i="2" s="1"/>
  <c r="AG4312" i="2"/>
  <c r="AH4312" i="2"/>
  <c r="AI4312" i="2"/>
  <c r="AJ4312" i="2"/>
  <c r="AF4313" i="2"/>
  <c r="AK4313" i="2" s="1"/>
  <c r="AL4313" i="2" s="1"/>
  <c r="AG4313" i="2"/>
  <c r="AH4313" i="2"/>
  <c r="AI4313" i="2"/>
  <c r="AJ4313" i="2"/>
  <c r="AF4314" i="2"/>
  <c r="AK4314" i="2"/>
  <c r="AG4314" i="2"/>
  <c r="AH4314" i="2"/>
  <c r="AI4314" i="2"/>
  <c r="AJ4314" i="2"/>
  <c r="AF4315" i="2"/>
  <c r="AK4315" i="2" s="1"/>
  <c r="AG4315" i="2"/>
  <c r="AH4315" i="2"/>
  <c r="AI4315" i="2"/>
  <c r="AJ4315" i="2"/>
  <c r="AF4316" i="2"/>
  <c r="AK4316" i="2" s="1"/>
  <c r="AL4316" i="2" s="1"/>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s="1"/>
  <c r="AG4356" i="2"/>
  <c r="AH4356" i="2"/>
  <c r="AL4356" i="2" s="1"/>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c r="AG4360" i="2"/>
  <c r="AH4360" i="2"/>
  <c r="AI4360" i="2"/>
  <c r="AJ4360" i="2"/>
  <c r="AL4360" i="2" s="1"/>
  <c r="AF4361" i="2"/>
  <c r="AK4361" i="2" s="1"/>
  <c r="AG4361" i="2"/>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L4373" i="2"/>
  <c r="AG4373" i="2"/>
  <c r="AH4373" i="2"/>
  <c r="AI4373" i="2"/>
  <c r="AJ4373" i="2"/>
  <c r="AF4374" i="2"/>
  <c r="AK4374" i="2" s="1"/>
  <c r="AG4374" i="2"/>
  <c r="AH4374" i="2"/>
  <c r="AI4374" i="2"/>
  <c r="AJ4374" i="2"/>
  <c r="AF4375" i="2"/>
  <c r="AK4375" i="2"/>
  <c r="AG4375" i="2"/>
  <c r="AH4375" i="2"/>
  <c r="AI4375" i="2"/>
  <c r="AJ4375" i="2"/>
  <c r="AF4376" i="2"/>
  <c r="AK4376" i="2" s="1"/>
  <c r="AG4376" i="2"/>
  <c r="AH4376" i="2"/>
  <c r="AI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L4383" i="2" s="1"/>
  <c r="AJ4383" i="2"/>
  <c r="AF4384" i="2"/>
  <c r="AK4384" i="2" s="1"/>
  <c r="AG4384" i="2"/>
  <c r="AH4384" i="2"/>
  <c r="AI4384" i="2"/>
  <c r="AJ4384" i="2"/>
  <c r="AF4385" i="2"/>
  <c r="AK4385" i="2" s="1"/>
  <c r="AG4385" i="2"/>
  <c r="AH4385" i="2"/>
  <c r="AI4385" i="2"/>
  <c r="AJ4385" i="2"/>
  <c r="AF4386" i="2"/>
  <c r="AK4386" i="2" s="1"/>
  <c r="AL4386" i="2" s="1"/>
  <c r="AG4386" i="2"/>
  <c r="AH4386" i="2"/>
  <c r="AI4386" i="2"/>
  <c r="AJ4386" i="2"/>
  <c r="AF4387" i="2"/>
  <c r="AK4387" i="2" s="1"/>
  <c r="AG4387" i="2"/>
  <c r="AH4387" i="2"/>
  <c r="AI4387" i="2"/>
  <c r="AJ4387" i="2"/>
  <c r="AF4388" i="2"/>
  <c r="AK4388" i="2" s="1"/>
  <c r="AG4388" i="2"/>
  <c r="AH4388" i="2"/>
  <c r="AI4388" i="2"/>
  <c r="AJ4388" i="2"/>
  <c r="AF4389" i="2"/>
  <c r="AK4389" i="2" s="1"/>
  <c r="AG4389" i="2"/>
  <c r="AL4389" i="2"/>
  <c r="AH4389" i="2"/>
  <c r="AI4389" i="2"/>
  <c r="AJ4389" i="2"/>
  <c r="AF4390" i="2"/>
  <c r="AK4390" i="2"/>
  <c r="AG4390" i="2"/>
  <c r="AH4390" i="2"/>
  <c r="AL4390" i="2" s="1"/>
  <c r="AI4390" i="2"/>
  <c r="AJ4390" i="2"/>
  <c r="AF4391" i="2"/>
  <c r="AK4391" i="2"/>
  <c r="AG4391" i="2"/>
  <c r="AH4391" i="2"/>
  <c r="AI4391" i="2"/>
  <c r="AJ4391" i="2"/>
  <c r="AF4392" i="2"/>
  <c r="AK4392" i="2"/>
  <c r="AG4392" i="2"/>
  <c r="AH4392" i="2"/>
  <c r="AI4392" i="2"/>
  <c r="AJ4392" i="2"/>
  <c r="AF4393" i="2"/>
  <c r="AK4393" i="2"/>
  <c r="AL4393" i="2" s="1"/>
  <c r="AG4393" i="2"/>
  <c r="AH4393" i="2"/>
  <c r="AI4393" i="2"/>
  <c r="AJ4393" i="2"/>
  <c r="AF4394" i="2"/>
  <c r="AK4394" i="2"/>
  <c r="AG4394" i="2"/>
  <c r="AH4394" i="2"/>
  <c r="AL4394" i="2" s="1"/>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L4408" i="2" s="1"/>
  <c r="AJ4408" i="2"/>
  <c r="AF4409" i="2"/>
  <c r="AK4409" i="2" s="1"/>
  <c r="AG4409" i="2"/>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L4421" i="2" s="1"/>
  <c r="AJ4421" i="2"/>
  <c r="AF4422" i="2"/>
  <c r="AK4422" i="2" s="1"/>
  <c r="AG4422" i="2"/>
  <c r="AH4422" i="2"/>
  <c r="AI4422" i="2"/>
  <c r="AJ4422" i="2"/>
  <c r="AF4423" i="2"/>
  <c r="AK4423" i="2"/>
  <c r="AG4423" i="2"/>
  <c r="AH4423" i="2"/>
  <c r="AL4423" i="2" s="1"/>
  <c r="AI4423" i="2"/>
  <c r="AJ4423" i="2"/>
  <c r="AF4424" i="2"/>
  <c r="AK4424" i="2" s="1"/>
  <c r="AG4424" i="2"/>
  <c r="AL4424" i="2" s="1"/>
  <c r="AH4424" i="2"/>
  <c r="AI4424" i="2"/>
  <c r="AJ4424" i="2"/>
  <c r="AF4425" i="2"/>
  <c r="AK4425" i="2"/>
  <c r="AG4425" i="2"/>
  <c r="AH4425" i="2"/>
  <c r="AI4425" i="2"/>
  <c r="AJ4425" i="2"/>
  <c r="AF4426" i="2"/>
  <c r="AK4426" i="2" s="1"/>
  <c r="AL4426" i="2" s="1"/>
  <c r="AG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L4430" i="2" s="1"/>
  <c r="AI4430" i="2"/>
  <c r="AJ4430" i="2"/>
  <c r="AF4431" i="2"/>
  <c r="AK4431" i="2"/>
  <c r="AG4431" i="2"/>
  <c r="AH4431" i="2"/>
  <c r="AI4431" i="2"/>
  <c r="AJ4431" i="2"/>
  <c r="AF4432" i="2"/>
  <c r="AK4432" i="2" s="1"/>
  <c r="AG4432" i="2"/>
  <c r="AL4432" i="2" s="1"/>
  <c r="AH4432" i="2"/>
  <c r="AI4432" i="2"/>
  <c r="AJ4432" i="2"/>
  <c r="AF4433" i="2"/>
  <c r="AK4433" i="2"/>
  <c r="AG4433" i="2"/>
  <c r="AH4433" i="2"/>
  <c r="AI4433" i="2"/>
  <c r="AJ4433" i="2"/>
  <c r="AF4434" i="2"/>
  <c r="AK4434" i="2"/>
  <c r="AG4434" i="2"/>
  <c r="AH4434" i="2"/>
  <c r="AI4434" i="2"/>
  <c r="AJ4434" i="2"/>
  <c r="AF4435" i="2"/>
  <c r="AK4435" i="2" s="1"/>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L4450" i="2" s="1"/>
  <c r="AF4451" i="2"/>
  <c r="AK4451" i="2"/>
  <c r="AG4451" i="2"/>
  <c r="AH4451" i="2"/>
  <c r="AI4451" i="2"/>
  <c r="AL4451" i="2" s="1"/>
  <c r="AJ4451" i="2"/>
  <c r="AF4452" i="2"/>
  <c r="AK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L4458" i="2" s="1"/>
  <c r="AI4458" i="2"/>
  <c r="AJ4458" i="2"/>
  <c r="AF4459" i="2"/>
  <c r="AK4459" i="2"/>
  <c r="AG4459" i="2"/>
  <c r="AH4459" i="2"/>
  <c r="AI4459" i="2"/>
  <c r="AJ4459" i="2"/>
  <c r="AF4460" i="2"/>
  <c r="AK4460" i="2" s="1"/>
  <c r="AG4460" i="2"/>
  <c r="AH4460" i="2"/>
  <c r="AL4460" i="2" s="1"/>
  <c r="AI4460" i="2"/>
  <c r="AJ4460" i="2"/>
  <c r="AF4461" i="2"/>
  <c r="AK4461" i="2"/>
  <c r="AG4461" i="2"/>
  <c r="AH4461" i="2"/>
  <c r="AI4461" i="2"/>
  <c r="AJ4461" i="2"/>
  <c r="AF4462" i="2"/>
  <c r="AK4462" i="2"/>
  <c r="AL4462" i="2" s="1"/>
  <c r="AG4462" i="2"/>
  <c r="AH4462" i="2"/>
  <c r="AI4462" i="2"/>
  <c r="AJ4462" i="2"/>
  <c r="AF4463" i="2"/>
  <c r="AK4463" i="2" s="1"/>
  <c r="AL4463" i="2"/>
  <c r="AG4463" i="2"/>
  <c r="AH4463" i="2"/>
  <c r="AI4463" i="2"/>
  <c r="AJ4463" i="2"/>
  <c r="AF4464" i="2"/>
  <c r="AK4464" i="2" s="1"/>
  <c r="AL4464" i="2" s="1"/>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L4467" i="2" s="1"/>
  <c r="AI4467" i="2"/>
  <c r="AJ4467" i="2"/>
  <c r="AF4468" i="2"/>
  <c r="AK4468" i="2" s="1"/>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s="1"/>
  <c r="AI4472" i="2"/>
  <c r="AJ4472" i="2"/>
  <c r="AF4473" i="2"/>
  <c r="AK4473" i="2"/>
  <c r="AG4473" i="2"/>
  <c r="AL4473" i="2" s="1"/>
  <c r="AH4473" i="2"/>
  <c r="AI4473" i="2"/>
  <c r="AJ4473" i="2"/>
  <c r="AF4474" i="2"/>
  <c r="AK4474" i="2" s="1"/>
  <c r="AG4474" i="2"/>
  <c r="AH4474" i="2"/>
  <c r="AI4474" i="2"/>
  <c r="AJ4474" i="2"/>
  <c r="AF4475" i="2"/>
  <c r="AK4475" i="2"/>
  <c r="AG4475" i="2"/>
  <c r="AH4475" i="2"/>
  <c r="AI4475" i="2"/>
  <c r="AL4475" i="2" s="1"/>
  <c r="AJ4475" i="2"/>
  <c r="AF4476" i="2"/>
  <c r="AK4476" i="2" s="1"/>
  <c r="AG4476" i="2"/>
  <c r="AL4476" i="2" s="1"/>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L4488" i="2" s="1"/>
  <c r="AJ4488" i="2"/>
  <c r="AF4489" i="2"/>
  <c r="AK4489" i="2" s="1"/>
  <c r="AL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s="1"/>
  <c r="AG4493" i="2"/>
  <c r="AH4493" i="2"/>
  <c r="AI4493" i="2"/>
  <c r="AJ4493" i="2"/>
  <c r="AF4494" i="2"/>
  <c r="AK4494" i="2"/>
  <c r="AG4494" i="2"/>
  <c r="AH4494" i="2"/>
  <c r="AI4494" i="2"/>
  <c r="AJ4494" i="2"/>
  <c r="AF4495" i="2"/>
  <c r="AK4495" i="2"/>
  <c r="AG4495" i="2"/>
  <c r="AH4495" i="2"/>
  <c r="AL4495" i="2" s="1"/>
  <c r="AI4495" i="2"/>
  <c r="AJ4495" i="2"/>
  <c r="AF4496" i="2"/>
  <c r="AK4496" i="2" s="1"/>
  <c r="AG4496" i="2"/>
  <c r="AH4496" i="2"/>
  <c r="AI4496" i="2"/>
  <c r="AJ4496" i="2"/>
  <c r="AF4497" i="2"/>
  <c r="AK4497" i="2" s="1"/>
  <c r="AG4497" i="2"/>
  <c r="AH4497" i="2"/>
  <c r="AI4497" i="2"/>
  <c r="AJ4497" i="2"/>
  <c r="AF4498" i="2"/>
  <c r="AK4498" i="2" s="1"/>
  <c r="AL4498" i="2" s="1"/>
  <c r="AG4498" i="2"/>
  <c r="AH4498" i="2"/>
  <c r="AI4498" i="2"/>
  <c r="AJ4498" i="2"/>
  <c r="AF4499" i="2"/>
  <c r="AK4499" i="2"/>
  <c r="AG4499" i="2"/>
  <c r="AH4499" i="2"/>
  <c r="AI4499" i="2"/>
  <c r="AL4499" i="2" s="1"/>
  <c r="AJ4499" i="2"/>
  <c r="AF4500" i="2"/>
  <c r="AK4500" i="2" s="1"/>
  <c r="AG4500" i="2"/>
  <c r="AH4500" i="2"/>
  <c r="AI4500" i="2"/>
  <c r="AJ4500" i="2"/>
  <c r="AF4501" i="2"/>
  <c r="AK4501" i="2" s="1"/>
  <c r="AL4501" i="2" s="1"/>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L4507" i="2" s="1"/>
  <c r="AH4507" i="2"/>
  <c r="AI4507" i="2"/>
  <c r="AJ4507" i="2"/>
  <c r="AF4508" i="2"/>
  <c r="AK4508" i="2" s="1"/>
  <c r="AG4508" i="2"/>
  <c r="AH4508" i="2"/>
  <c r="AL4508" i="2" s="1"/>
  <c r="AI4508" i="2"/>
  <c r="AJ4508" i="2"/>
  <c r="AF4509" i="2"/>
  <c r="AK4509" i="2"/>
  <c r="AG4509" i="2"/>
  <c r="AH4509" i="2"/>
  <c r="AI4509" i="2"/>
  <c r="AJ4509" i="2"/>
  <c r="AF4510" i="2"/>
  <c r="AK4510" i="2" s="1"/>
  <c r="AG4510" i="2"/>
  <c r="AH4510" i="2"/>
  <c r="AI4510" i="2"/>
  <c r="AJ4510" i="2"/>
  <c r="AL4510" i="2" s="1"/>
  <c r="AF4511" i="2"/>
  <c r="AK4511" i="2"/>
  <c r="AG4511" i="2"/>
  <c r="AH4511" i="2"/>
  <c r="AI4511" i="2"/>
  <c r="AL4511" i="2" s="1"/>
  <c r="AJ4511" i="2"/>
  <c r="AF4512" i="2"/>
  <c r="AK4512" i="2" s="1"/>
  <c r="AG4512" i="2"/>
  <c r="AH4512" i="2"/>
  <c r="AI4512" i="2"/>
  <c r="AJ4512" i="2"/>
  <c r="AF4513" i="2"/>
  <c r="AK4513" i="2" s="1"/>
  <c r="AL4513" i="2"/>
  <c r="AG4513" i="2"/>
  <c r="AH4513" i="2"/>
  <c r="AI4513" i="2"/>
  <c r="AJ4513" i="2"/>
  <c r="AF4514" i="2"/>
  <c r="AK4514" i="2" s="1"/>
  <c r="AG4514" i="2"/>
  <c r="AH4514" i="2"/>
  <c r="AI4514" i="2"/>
  <c r="AJ4514" i="2"/>
  <c r="AF4515" i="2"/>
  <c r="AK4515" i="2"/>
  <c r="AG4515" i="2"/>
  <c r="AH4515" i="2"/>
  <c r="AI4515" i="2"/>
  <c r="AL4515" i="2" s="1"/>
  <c r="AJ4515" i="2"/>
  <c r="AF4516" i="2"/>
  <c r="AK4516" i="2" s="1"/>
  <c r="AG4516" i="2"/>
  <c r="AH4516" i="2"/>
  <c r="AI4516" i="2"/>
  <c r="AJ4516" i="2"/>
  <c r="AF4517" i="2"/>
  <c r="AK4517" i="2" s="1"/>
  <c r="AL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s="1"/>
  <c r="AL4526" i="2" s="1"/>
  <c r="AG4526" i="2"/>
  <c r="AH4526" i="2"/>
  <c r="AI4526" i="2"/>
  <c r="AJ4526" i="2"/>
  <c r="AF4527" i="2"/>
  <c r="AK4527" i="2" s="1"/>
  <c r="AL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J4530" i="2"/>
  <c r="AF4531" i="2"/>
  <c r="AK4531" i="2" s="1"/>
  <c r="AG4531" i="2"/>
  <c r="AH4531" i="2"/>
  <c r="AI4531" i="2"/>
  <c r="AJ4531" i="2"/>
  <c r="AL4531" i="2"/>
  <c r="AF4532" i="2"/>
  <c r="AK4532" i="2"/>
  <c r="AG4532" i="2"/>
  <c r="AH4532" i="2"/>
  <c r="AL4532" i="2"/>
  <c r="AI4532" i="2"/>
  <c r="AJ4532" i="2"/>
  <c r="AF4533" i="2"/>
  <c r="AK4533" i="2" s="1"/>
  <c r="AL4533" i="2" s="1"/>
  <c r="AG4533" i="2"/>
  <c r="AH4533" i="2"/>
  <c r="AI4533" i="2"/>
  <c r="AJ4533" i="2"/>
  <c r="AF4534" i="2"/>
  <c r="AK4534" i="2" s="1"/>
  <c r="AG4534" i="2"/>
  <c r="AH4534" i="2"/>
  <c r="AI4534" i="2"/>
  <c r="AJ4534" i="2"/>
  <c r="AF4535" i="2"/>
  <c r="AK4535" i="2" s="1"/>
  <c r="AG4535" i="2"/>
  <c r="AH4535" i="2"/>
  <c r="AI4535" i="2"/>
  <c r="AJ4535" i="2"/>
  <c r="AF4536" i="2"/>
  <c r="AK4536" i="2"/>
  <c r="AG4536" i="2"/>
  <c r="AH4536" i="2"/>
  <c r="AI4536" i="2"/>
  <c r="AJ4536" i="2"/>
  <c r="AF4537" i="2"/>
  <c r="AK4537" i="2"/>
  <c r="AG4537" i="2"/>
  <c r="AH4537" i="2"/>
  <c r="AI4537" i="2"/>
  <c r="AJ4537" i="2"/>
  <c r="AF4538" i="2"/>
  <c r="AK4538" i="2"/>
  <c r="AG4538" i="2"/>
  <c r="AH4538" i="2"/>
  <c r="AL4538" i="2" s="1"/>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c r="AG4542" i="2"/>
  <c r="AH4542" i="2"/>
  <c r="AL4542" i="2" s="1"/>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F4546" i="2"/>
  <c r="AK4546" i="2" s="1"/>
  <c r="AL4546" i="2" s="1"/>
  <c r="AG4546" i="2"/>
  <c r="AH4546" i="2"/>
  <c r="AI4546" i="2"/>
  <c r="AJ4546" i="2"/>
  <c r="AF4547" i="2"/>
  <c r="AK4547" i="2" s="1"/>
  <c r="AG4547" i="2"/>
  <c r="AH4547" i="2"/>
  <c r="AL4547" i="2" s="1"/>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L4555" i="2" s="1"/>
  <c r="AG4555" i="2"/>
  <c r="AH4555" i="2"/>
  <c r="AI4555" i="2"/>
  <c r="AJ4555" i="2"/>
  <c r="AF4556" i="2"/>
  <c r="AK4556" i="2"/>
  <c r="AG4556" i="2"/>
  <c r="AH4556" i="2"/>
  <c r="AI4556" i="2"/>
  <c r="AJ4556" i="2"/>
  <c r="AF4557" i="2"/>
  <c r="AK4557" i="2" s="1"/>
  <c r="AG4557" i="2"/>
  <c r="AH4557" i="2"/>
  <c r="AL4557" i="2" s="1"/>
  <c r="AI4557" i="2"/>
  <c r="AJ4557" i="2"/>
  <c r="AF4558" i="2"/>
  <c r="AK4558" i="2"/>
  <c r="AG4558" i="2"/>
  <c r="AH4558" i="2"/>
  <c r="AI4558" i="2"/>
  <c r="AJ4558" i="2"/>
  <c r="AF4559" i="2"/>
  <c r="AK4559" i="2"/>
  <c r="AG4559" i="2"/>
  <c r="AL4559" i="2" s="1"/>
  <c r="AH4559" i="2"/>
  <c r="AI4559" i="2"/>
  <c r="AJ4559" i="2"/>
  <c r="AF4560" i="2"/>
  <c r="AK4560" i="2" s="1"/>
  <c r="AL4560" i="2"/>
  <c r="AG4560" i="2"/>
  <c r="AH4560" i="2"/>
  <c r="AI4560" i="2"/>
  <c r="AJ4560" i="2"/>
  <c r="AF4561" i="2"/>
  <c r="AK4561" i="2" s="1"/>
  <c r="AL4561" i="2" s="1"/>
  <c r="AG4561" i="2"/>
  <c r="AH4561" i="2"/>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H4568" i="2"/>
  <c r="AI4568" i="2"/>
  <c r="AL4568" i="2" s="1"/>
  <c r="AJ4568" i="2"/>
  <c r="AF4569" i="2"/>
  <c r="AK4569" i="2" s="1"/>
  <c r="AG4569" i="2"/>
  <c r="AH4569" i="2"/>
  <c r="AI4569" i="2"/>
  <c r="AJ4569" i="2"/>
  <c r="AL4569" i="2" s="1"/>
  <c r="AF4570" i="2"/>
  <c r="AK4570" i="2"/>
  <c r="AG4570" i="2"/>
  <c r="AH4570" i="2"/>
  <c r="AL4570" i="2" s="1"/>
  <c r="AI4570" i="2"/>
  <c r="AJ4570" i="2"/>
  <c r="AF4571" i="2"/>
  <c r="AK4571" i="2" s="1"/>
  <c r="AG4571" i="2"/>
  <c r="AH4571" i="2"/>
  <c r="AI4571" i="2"/>
  <c r="AJ4571" i="2"/>
  <c r="AF4572" i="2"/>
  <c r="AK4572" i="2" s="1"/>
  <c r="AG4572" i="2"/>
  <c r="AH4572" i="2"/>
  <c r="AI4572" i="2"/>
  <c r="AJ4572" i="2"/>
  <c r="AF4573" i="2"/>
  <c r="AK4573" i="2"/>
  <c r="AL4573" i="2" s="1"/>
  <c r="AG4573" i="2"/>
  <c r="AH4573" i="2"/>
  <c r="AI4573" i="2"/>
  <c r="AJ4573" i="2"/>
  <c r="AF4574" i="2"/>
  <c r="AK4574" i="2" s="1"/>
  <c r="AG4574" i="2"/>
  <c r="AH4574" i="2"/>
  <c r="AI4574" i="2"/>
  <c r="AJ4574" i="2"/>
  <c r="AF4575" i="2"/>
  <c r="AK4575" i="2" s="1"/>
  <c r="AG4575" i="2"/>
  <c r="AH4575" i="2"/>
  <c r="AI4575" i="2"/>
  <c r="AJ4575" i="2"/>
  <c r="AF4576" i="2"/>
  <c r="AK4576" i="2" s="1"/>
  <c r="AG4576" i="2"/>
  <c r="AL4576" i="2" s="1"/>
  <c r="AH4576" i="2"/>
  <c r="AI4576" i="2"/>
  <c r="AJ4576" i="2"/>
  <c r="AF4577" i="2"/>
  <c r="AK4577" i="2"/>
  <c r="AG4577" i="2"/>
  <c r="AH4577" i="2"/>
  <c r="AI4577" i="2"/>
  <c r="AL4577" i="2" s="1"/>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s="1"/>
  <c r="AG4586" i="2"/>
  <c r="AH4586" i="2"/>
  <c r="AI4586" i="2"/>
  <c r="AJ4586" i="2"/>
  <c r="AF4587" i="2"/>
  <c r="AK4587" i="2"/>
  <c r="AG4587" i="2"/>
  <c r="AL4587" i="2" s="1"/>
  <c r="AH4587" i="2"/>
  <c r="AI4587" i="2"/>
  <c r="AJ4587" i="2"/>
  <c r="AF4588" i="2"/>
  <c r="AK4588" i="2"/>
  <c r="AG4588" i="2"/>
  <c r="AH4588" i="2"/>
  <c r="AI4588" i="2"/>
  <c r="AL4588" i="2" s="1"/>
  <c r="AJ4588" i="2"/>
  <c r="AF4589" i="2"/>
  <c r="AK4589" i="2"/>
  <c r="AG4589" i="2"/>
  <c r="AH4589" i="2"/>
  <c r="AI4589" i="2"/>
  <c r="AJ4589" i="2"/>
  <c r="AF4590" i="2"/>
  <c r="AK4590" i="2" s="1"/>
  <c r="AG4590" i="2"/>
  <c r="AH4590" i="2"/>
  <c r="AI4590" i="2"/>
  <c r="AJ4590" i="2"/>
  <c r="AF4591" i="2"/>
  <c r="AK4591" i="2" s="1"/>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s="1"/>
  <c r="AL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L4605" i="2" s="1"/>
  <c r="AF4606" i="2"/>
  <c r="AK4606" i="2" s="1"/>
  <c r="AG4606" i="2"/>
  <c r="AL4606" i="2" s="1"/>
  <c r="AH4606" i="2"/>
  <c r="AI4606" i="2"/>
  <c r="AJ4606" i="2"/>
  <c r="AF4607" i="2"/>
  <c r="AK4607" i="2" s="1"/>
  <c r="AG4607" i="2"/>
  <c r="AL4607" i="2"/>
  <c r="AH4607" i="2"/>
  <c r="AI4607" i="2"/>
  <c r="AJ4607" i="2"/>
  <c r="AF4608" i="2"/>
  <c r="AK4608" i="2"/>
  <c r="AG4608" i="2"/>
  <c r="AH4608" i="2"/>
  <c r="AL4608" i="2"/>
  <c r="AI4608" i="2"/>
  <c r="AJ4608" i="2"/>
  <c r="AF4609" i="2"/>
  <c r="AK4609" i="2"/>
  <c r="AG4609" i="2"/>
  <c r="AH4609" i="2"/>
  <c r="AI4609" i="2"/>
  <c r="AJ4609" i="2"/>
  <c r="AL4609" i="2" s="1"/>
  <c r="AF4610" i="2"/>
  <c r="AK4610" i="2"/>
  <c r="AG4610" i="2"/>
  <c r="AH4610" i="2"/>
  <c r="AL4610" i="2" s="1"/>
  <c r="AI4610" i="2"/>
  <c r="AJ4610" i="2"/>
  <c r="AF4611" i="2"/>
  <c r="AK4611" i="2" s="1"/>
  <c r="AG4611" i="2"/>
  <c r="AH4611" i="2"/>
  <c r="AI4611" i="2"/>
  <c r="AJ4611" i="2"/>
  <c r="AF4612" i="2"/>
  <c r="AK4612" i="2" s="1"/>
  <c r="AG4612" i="2"/>
  <c r="AL4612" i="2" s="1"/>
  <c r="AH4612" i="2"/>
  <c r="AI4612" i="2"/>
  <c r="AJ4612" i="2"/>
  <c r="AF4613" i="2"/>
  <c r="AK4613" i="2" s="1"/>
  <c r="AG4613" i="2"/>
  <c r="AH4613" i="2"/>
  <c r="AL4613" i="2" s="1"/>
  <c r="AI4613" i="2"/>
  <c r="AJ4613" i="2"/>
  <c r="AF4614" i="2"/>
  <c r="AK4614" i="2"/>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s="1"/>
  <c r="AG4618" i="2"/>
  <c r="AH4618" i="2"/>
  <c r="AL4618" i="2" s="1"/>
  <c r="AI4618" i="2"/>
  <c r="AJ4618" i="2"/>
  <c r="AF4619" i="2"/>
  <c r="AK4619" i="2"/>
  <c r="AG4619" i="2"/>
  <c r="AH4619" i="2"/>
  <c r="AI4619" i="2"/>
  <c r="AJ4619" i="2"/>
  <c r="AF4620" i="2"/>
  <c r="AK4620" i="2" s="1"/>
  <c r="AG4620" i="2"/>
  <c r="AH4620" i="2"/>
  <c r="AI4620" i="2"/>
  <c r="AJ4620" i="2"/>
  <c r="AF4621" i="2"/>
  <c r="AK4621" i="2"/>
  <c r="AG4621" i="2"/>
  <c r="AH4621" i="2"/>
  <c r="AL4621" i="2" s="1"/>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G4627" i="2"/>
  <c r="AH4627" i="2"/>
  <c r="AI4627" i="2"/>
  <c r="AJ4627" i="2"/>
  <c r="AF4628" i="2"/>
  <c r="AK4628" i="2" s="1"/>
  <c r="AG4628" i="2"/>
  <c r="AH4628" i="2"/>
  <c r="AL4628" i="2" s="1"/>
  <c r="AI4628" i="2"/>
  <c r="AJ4628" i="2"/>
  <c r="AF4629" i="2"/>
  <c r="AK4629" i="2"/>
  <c r="AG4629" i="2"/>
  <c r="AH4629" i="2"/>
  <c r="AI4629" i="2"/>
  <c r="AJ4629" i="2"/>
  <c r="AF4630" i="2"/>
  <c r="AK4630" i="2" s="1"/>
  <c r="AG4630" i="2"/>
  <c r="AL4630" i="2"/>
  <c r="AH4630" i="2"/>
  <c r="AI4630" i="2"/>
  <c r="AJ4630" i="2"/>
  <c r="AF4631" i="2"/>
  <c r="AK4631" i="2"/>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L4637" i="2" s="1"/>
  <c r="AF4638" i="2"/>
  <c r="AK4638" i="2"/>
  <c r="AG4638" i="2"/>
  <c r="AH4638" i="2"/>
  <c r="AI4638" i="2"/>
  <c r="AJ4638" i="2"/>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s="1"/>
  <c r="AG4646" i="2"/>
  <c r="AL4646" i="2"/>
  <c r="AH4646" i="2"/>
  <c r="AI4646" i="2"/>
  <c r="AJ4646" i="2"/>
  <c r="AF4647" i="2"/>
  <c r="AK4647" i="2"/>
  <c r="AG4647" i="2"/>
  <c r="AH4647" i="2"/>
  <c r="AI4647" i="2"/>
  <c r="AL4647" i="2" s="1"/>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s="1"/>
  <c r="AG4660" i="2"/>
  <c r="AH4660" i="2"/>
  <c r="AI4660" i="2"/>
  <c r="AJ4660" i="2"/>
  <c r="AF4661" i="2"/>
  <c r="AK4661" i="2"/>
  <c r="AG4661" i="2"/>
  <c r="AH4661" i="2"/>
  <c r="AI4661" i="2"/>
  <c r="AJ4661" i="2"/>
  <c r="AF4662" i="2"/>
  <c r="AK4662" i="2" s="1"/>
  <c r="AL4662" i="2" s="1"/>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s="1"/>
  <c r="AL4667" i="2" s="1"/>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c r="AG4674" i="2"/>
  <c r="AH4674" i="2"/>
  <c r="AI4674" i="2"/>
  <c r="AJ4674" i="2"/>
  <c r="AF4675" i="2"/>
  <c r="AK4675" i="2"/>
  <c r="AG4675" i="2"/>
  <c r="AH4675" i="2"/>
  <c r="AI4675" i="2"/>
  <c r="AJ4675" i="2"/>
  <c r="AF4676" i="2"/>
  <c r="AK4676" i="2"/>
  <c r="AG4676" i="2"/>
  <c r="AH4676" i="2"/>
  <c r="AL4676" i="2" s="1"/>
  <c r="AI4676" i="2"/>
  <c r="AJ4676" i="2"/>
  <c r="AF4677" i="2"/>
  <c r="AK4677" i="2" s="1"/>
  <c r="AG4677" i="2"/>
  <c r="AH4677" i="2"/>
  <c r="AI4677" i="2"/>
  <c r="AJ4677" i="2"/>
  <c r="AL4677" i="2" s="1"/>
  <c r="AF4678" i="2"/>
  <c r="AK4678" i="2" s="1"/>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H4682" i="2"/>
  <c r="AI4682" i="2"/>
  <c r="AL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L4687" i="2" s="1"/>
  <c r="AJ4687" i="2"/>
  <c r="AF4688" i="2"/>
  <c r="AK4688" i="2" s="1"/>
  <c r="AG4688" i="2"/>
  <c r="AH4688" i="2"/>
  <c r="AI4688" i="2"/>
  <c r="AJ4688" i="2"/>
  <c r="AL4688" i="2" s="1"/>
  <c r="AF4689" i="2"/>
  <c r="AK4689" i="2" s="1"/>
  <c r="AG4689" i="2"/>
  <c r="AH4689" i="2"/>
  <c r="AI4689" i="2"/>
  <c r="AJ4689" i="2"/>
  <c r="AF4690" i="2"/>
  <c r="AK4690" i="2"/>
  <c r="AG4690" i="2"/>
  <c r="AH4690" i="2"/>
  <c r="AL4690" i="2"/>
  <c r="AI4690" i="2"/>
  <c r="AJ4690" i="2"/>
  <c r="AF4691" i="2"/>
  <c r="AK4691" i="2"/>
  <c r="AG4691" i="2"/>
  <c r="AH4691" i="2"/>
  <c r="AI4691" i="2"/>
  <c r="AL4691" i="2" s="1"/>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c r="AG4695" i="2"/>
  <c r="AH4695" i="2"/>
  <c r="AI4695" i="2"/>
  <c r="AJ4695" i="2"/>
  <c r="AF4696" i="2"/>
  <c r="AK4696" i="2" s="1"/>
  <c r="AG4696" i="2"/>
  <c r="AH4696" i="2"/>
  <c r="AI4696" i="2"/>
  <c r="AJ4696" i="2"/>
  <c r="AF4697" i="2"/>
  <c r="AK4697" i="2" s="1"/>
  <c r="AL4697" i="2" s="1"/>
  <c r="AG4697" i="2"/>
  <c r="AH4697" i="2"/>
  <c r="AI4697" i="2"/>
  <c r="AJ4697" i="2"/>
  <c r="AF4698" i="2"/>
  <c r="AK4698" i="2"/>
  <c r="AG4698" i="2"/>
  <c r="AH4698" i="2"/>
  <c r="AI4698" i="2"/>
  <c r="AJ4698" i="2"/>
  <c r="AF4699" i="2"/>
  <c r="AK4699" i="2"/>
  <c r="AG4699" i="2"/>
  <c r="AH4699" i="2"/>
  <c r="AL4699" i="2"/>
  <c r="AI4699" i="2"/>
  <c r="AJ4699" i="2"/>
  <c r="AF4700" i="2"/>
  <c r="AK4700" i="2" s="1"/>
  <c r="AG4700" i="2"/>
  <c r="AH4700" i="2"/>
  <c r="AI4700" i="2"/>
  <c r="AJ4700" i="2"/>
  <c r="AF4701" i="2"/>
  <c r="AK4701" i="2"/>
  <c r="AG4701" i="2"/>
  <c r="AH4701" i="2"/>
  <c r="AI4701" i="2"/>
  <c r="AJ4701" i="2"/>
  <c r="AF4702" i="2"/>
  <c r="AK4702" i="2" s="1"/>
  <c r="AG4702" i="2"/>
  <c r="AH4702" i="2"/>
  <c r="AI4702" i="2"/>
  <c r="AJ4702" i="2"/>
  <c r="AF4703" i="2"/>
  <c r="AK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L4709" i="2"/>
  <c r="AH4709" i="2"/>
  <c r="AI4709" i="2"/>
  <c r="AJ4709" i="2"/>
  <c r="AF4710" i="2"/>
  <c r="AK4710" i="2"/>
  <c r="AG4710" i="2"/>
  <c r="AH4710" i="2"/>
  <c r="AI4710" i="2"/>
  <c r="AJ4710" i="2"/>
  <c r="AF4711" i="2"/>
  <c r="AG4711" i="2"/>
  <c r="AH4711" i="2"/>
  <c r="AI4711" i="2"/>
  <c r="AJ4711" i="2"/>
  <c r="AK4711" i="2"/>
  <c r="AF4712" i="2"/>
  <c r="AK4712" i="2"/>
  <c r="AG4712" i="2"/>
  <c r="AL4712" i="2" s="1"/>
  <c r="AH4712" i="2"/>
  <c r="AI4712" i="2"/>
  <c r="AJ4712" i="2"/>
  <c r="AF4713" i="2"/>
  <c r="AK4713" i="2" s="1"/>
  <c r="AG4713" i="2"/>
  <c r="AH4713" i="2"/>
  <c r="AI4713" i="2"/>
  <c r="AJ4713" i="2"/>
  <c r="AF4714" i="2"/>
  <c r="AK4714" i="2"/>
  <c r="AG4714" i="2"/>
  <c r="AH4714" i="2"/>
  <c r="AI4714" i="2"/>
  <c r="AJ4714" i="2"/>
  <c r="AL4714" i="2" s="1"/>
  <c r="AF4715" i="2"/>
  <c r="AK4715" i="2" s="1"/>
  <c r="AG4715" i="2"/>
  <c r="AH4715" i="2"/>
  <c r="AI4715" i="2"/>
  <c r="AJ4715" i="2"/>
  <c r="AF4716" i="2"/>
  <c r="AK4716" i="2" s="1"/>
  <c r="AG4716" i="2"/>
  <c r="AH4716" i="2"/>
  <c r="AI4716" i="2"/>
  <c r="AJ4716" i="2"/>
  <c r="AF4717" i="2"/>
  <c r="AK4717" i="2"/>
  <c r="AG4717" i="2"/>
  <c r="AL4717" i="2" s="1"/>
  <c r="AH4717" i="2"/>
  <c r="AI4717" i="2"/>
  <c r="AJ4717" i="2"/>
  <c r="AF4718" i="2"/>
  <c r="AK4718" i="2" s="1"/>
  <c r="AG4718" i="2"/>
  <c r="AL4718" i="2"/>
  <c r="AH4718" i="2"/>
  <c r="AI4718" i="2"/>
  <c r="AJ4718" i="2"/>
  <c r="AF4719" i="2"/>
  <c r="AK4719" i="2"/>
  <c r="AG4719" i="2"/>
  <c r="AH4719" i="2"/>
  <c r="AI4719" i="2"/>
  <c r="AL4719" i="2" s="1"/>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L4723" i="2" s="1"/>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c r="AG4729" i="2"/>
  <c r="AH4729" i="2"/>
  <c r="AI4729" i="2"/>
  <c r="AL4729" i="2" s="1"/>
  <c r="AJ4729" i="2"/>
  <c r="AF4730" i="2"/>
  <c r="AK4730" i="2" s="1"/>
  <c r="AG4730" i="2"/>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I4735" i="2"/>
  <c r="AJ4735" i="2"/>
  <c r="AL4735" i="2" s="1"/>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c r="AG4740" i="2"/>
  <c r="AH4740" i="2"/>
  <c r="AI4740" i="2"/>
  <c r="AJ4740" i="2"/>
  <c r="AF4741" i="2"/>
  <c r="AK4741" i="2" s="1"/>
  <c r="AG4741" i="2"/>
  <c r="AH4741" i="2"/>
  <c r="AI4741" i="2"/>
  <c r="AJ4741" i="2"/>
  <c r="AL4741" i="2" s="1"/>
  <c r="AF4742" i="2"/>
  <c r="AK4742" i="2"/>
  <c r="AG4742" i="2"/>
  <c r="AH4742" i="2"/>
  <c r="AL4742" i="2" s="1"/>
  <c r="AI4742" i="2"/>
  <c r="AJ4742" i="2"/>
  <c r="AF4743" i="2"/>
  <c r="AK4743" i="2" s="1"/>
  <c r="AG4743" i="2"/>
  <c r="AH4743" i="2"/>
  <c r="AI4743" i="2"/>
  <c r="AJ4743" i="2"/>
  <c r="AL4743" i="2" s="1"/>
  <c r="AF4744" i="2"/>
  <c r="AK4744" i="2"/>
  <c r="AG4744" i="2"/>
  <c r="AH4744" i="2"/>
  <c r="AI4744" i="2"/>
  <c r="AJ4744" i="2"/>
  <c r="AF4745" i="2"/>
  <c r="AK4745" i="2" s="1"/>
  <c r="AL4745" i="2"/>
  <c r="AG4745" i="2"/>
  <c r="AH4745" i="2"/>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s="1"/>
  <c r="AG4753" i="2"/>
  <c r="AL4753" i="2"/>
  <c r="AH4753" i="2"/>
  <c r="AI4753" i="2"/>
  <c r="AJ4753" i="2"/>
  <c r="AF4754" i="2"/>
  <c r="AK4754" i="2"/>
  <c r="AG4754" i="2"/>
  <c r="AH4754" i="2"/>
  <c r="AI4754" i="2"/>
  <c r="AJ4754" i="2"/>
  <c r="AF4755" i="2"/>
  <c r="AK4755" i="2" s="1"/>
  <c r="AG4755" i="2"/>
  <c r="AH4755" i="2"/>
  <c r="AI4755" i="2"/>
  <c r="AJ4755" i="2"/>
  <c r="AF4756" i="2"/>
  <c r="AK4756" i="2"/>
  <c r="AL4756" i="2" s="1"/>
  <c r="AG4756" i="2"/>
  <c r="AH4756" i="2"/>
  <c r="AI4756" i="2"/>
  <c r="AJ4756" i="2"/>
  <c r="AF4757" i="2"/>
  <c r="AK4757" i="2" s="1"/>
  <c r="AG4757" i="2"/>
  <c r="AH4757" i="2"/>
  <c r="AI4757" i="2"/>
  <c r="AJ4757" i="2"/>
  <c r="AF4758" i="2"/>
  <c r="AK4758" i="2"/>
  <c r="AG4758" i="2"/>
  <c r="AH4758" i="2"/>
  <c r="AI4758" i="2"/>
  <c r="AJ4758" i="2"/>
  <c r="AF4759" i="2"/>
  <c r="AK4759" i="2" s="1"/>
  <c r="AL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H4767" i="2"/>
  <c r="AI4767" i="2"/>
  <c r="AL4767" i="2" s="1"/>
  <c r="AJ4767" i="2"/>
  <c r="AF4768" i="2"/>
  <c r="AK4768" i="2"/>
  <c r="AG4768" i="2"/>
  <c r="AH4768" i="2"/>
  <c r="AI4768" i="2"/>
  <c r="AJ4768" i="2"/>
  <c r="AF4769" i="2"/>
  <c r="AK4769" i="2" s="1"/>
  <c r="AL4769" i="2" s="1"/>
  <c r="AG4769" i="2"/>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L4774" i="2" s="1"/>
  <c r="AH4774" i="2"/>
  <c r="AI4774" i="2"/>
  <c r="AJ4774" i="2"/>
  <c r="AF4775" i="2"/>
  <c r="AK4775" i="2"/>
  <c r="AG4775" i="2"/>
  <c r="AL4775" i="2" s="1"/>
  <c r="AH4775" i="2"/>
  <c r="AI4775" i="2"/>
  <c r="AJ4775" i="2"/>
  <c r="AF4776" i="2"/>
  <c r="AK4776" i="2" s="1"/>
  <c r="AG4776" i="2"/>
  <c r="AH4776" i="2"/>
  <c r="AI4776" i="2"/>
  <c r="AJ4776" i="2"/>
  <c r="AF4777" i="2"/>
  <c r="AK4777" i="2"/>
  <c r="AG4777" i="2"/>
  <c r="AH4777" i="2"/>
  <c r="AI4777" i="2"/>
  <c r="AL4777" i="2" s="1"/>
  <c r="AJ4777" i="2"/>
  <c r="AF4778" i="2"/>
  <c r="AK4778" i="2" s="1"/>
  <c r="AL4778" i="2" s="1"/>
  <c r="AG4778" i="2"/>
  <c r="AH4778" i="2"/>
  <c r="AI4778" i="2"/>
  <c r="AJ4778" i="2"/>
  <c r="AF4779" i="2"/>
  <c r="AK4779" i="2" s="1"/>
  <c r="AG4779" i="2"/>
  <c r="AH4779" i="2"/>
  <c r="AI4779" i="2"/>
  <c r="AL4779" i="2" s="1"/>
  <c r="AJ4779" i="2"/>
  <c r="AF4780" i="2"/>
  <c r="AK4780" i="2" s="1"/>
  <c r="AG4780" i="2"/>
  <c r="AH4780" i="2"/>
  <c r="AI4780" i="2"/>
  <c r="AJ4780" i="2"/>
  <c r="AF4781" i="2"/>
  <c r="AK4781" i="2"/>
  <c r="AG4781" i="2"/>
  <c r="AH4781" i="2"/>
  <c r="AI4781" i="2"/>
  <c r="AJ4781" i="2"/>
  <c r="AL4781" i="2" s="1"/>
  <c r="AF4782" i="2"/>
  <c r="AK4782" i="2"/>
  <c r="AL4782" i="2"/>
  <c r="AG4782" i="2"/>
  <c r="AH4782" i="2"/>
  <c r="AI4782" i="2"/>
  <c r="AJ4782" i="2"/>
  <c r="AF4783" i="2"/>
  <c r="AK4783" i="2" s="1"/>
  <c r="AG4783" i="2"/>
  <c r="AL4783" i="2" s="1"/>
  <c r="AH4783" i="2"/>
  <c r="AI4783" i="2"/>
  <c r="AJ4783" i="2"/>
  <c r="AF4784" i="2"/>
  <c r="AK4784" i="2"/>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c r="AG4788" i="2"/>
  <c r="AH4788" i="2"/>
  <c r="AI4788" i="2"/>
  <c r="AJ4788" i="2"/>
  <c r="AF4789" i="2"/>
  <c r="AK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L4792" i="2" s="1"/>
  <c r="AI4792" i="2"/>
  <c r="AJ4792" i="2"/>
  <c r="AF4793" i="2"/>
  <c r="AK4793" i="2"/>
  <c r="AG4793" i="2"/>
  <c r="AH4793" i="2"/>
  <c r="AI4793" i="2"/>
  <c r="AJ4793" i="2"/>
  <c r="AF4794" i="2"/>
  <c r="AK4794" i="2"/>
  <c r="AL4794" i="2" s="1"/>
  <c r="AG4794" i="2"/>
  <c r="AH4794" i="2"/>
  <c r="AI4794" i="2"/>
  <c r="AJ4794" i="2"/>
  <c r="AF4795" i="2"/>
  <c r="AK4795" i="2"/>
  <c r="AG4795" i="2"/>
  <c r="AH4795" i="2"/>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L4799" i="2" s="1"/>
  <c r="AI4799" i="2"/>
  <c r="AJ4799" i="2"/>
  <c r="AF4800" i="2"/>
  <c r="AK4800" i="2" s="1"/>
  <c r="AG4800" i="2"/>
  <c r="AH4800" i="2"/>
  <c r="AI4800" i="2"/>
  <c r="AJ4800" i="2"/>
  <c r="AF4801" i="2"/>
  <c r="AK4801" i="2"/>
  <c r="AG4801" i="2"/>
  <c r="AH4801" i="2"/>
  <c r="AI4801" i="2"/>
  <c r="AL4801" i="2" s="1"/>
  <c r="AJ4801" i="2"/>
  <c r="AF4802" i="2"/>
  <c r="AK4802" i="2"/>
  <c r="AG4802" i="2"/>
  <c r="AH4802" i="2"/>
  <c r="AI4802" i="2"/>
  <c r="AJ4802" i="2"/>
  <c r="AF4803" i="2"/>
  <c r="AK4803" i="2" s="1"/>
  <c r="AG4803" i="2"/>
  <c r="AH4803" i="2"/>
  <c r="AI4803" i="2"/>
  <c r="AJ4803" i="2"/>
  <c r="AF4804" i="2"/>
  <c r="AK4804" i="2"/>
  <c r="AG4804" i="2"/>
  <c r="AH4804" i="2"/>
  <c r="AI4804" i="2"/>
  <c r="AL4804" i="2" s="1"/>
  <c r="AJ4804" i="2"/>
  <c r="AF4805" i="2"/>
  <c r="AK4805" i="2" s="1"/>
  <c r="AG4805" i="2"/>
  <c r="AH4805" i="2"/>
  <c r="AI4805" i="2"/>
  <c r="AJ4805" i="2"/>
  <c r="AF4806" i="2"/>
  <c r="AK4806" i="2" s="1"/>
  <c r="AL4806" i="2" s="1"/>
  <c r="AG4806" i="2"/>
  <c r="AH4806" i="2"/>
  <c r="AI4806" i="2"/>
  <c r="AJ4806" i="2"/>
  <c r="AF4807" i="2"/>
  <c r="AK4807" i="2"/>
  <c r="AG4807" i="2"/>
  <c r="AL4807" i="2" s="1"/>
  <c r="AH4807" i="2"/>
  <c r="AI4807" i="2"/>
  <c r="AJ4807" i="2"/>
  <c r="AF4808" i="2"/>
  <c r="AK4808" i="2"/>
  <c r="AG4808" i="2"/>
  <c r="AH4808" i="2"/>
  <c r="AL4808" i="2" s="1"/>
  <c r="AI4808" i="2"/>
  <c r="AJ4808" i="2"/>
  <c r="AF4809" i="2"/>
  <c r="AK4809" i="2" s="1"/>
  <c r="AG4809" i="2"/>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G4815" i="2"/>
  <c r="AH4815" i="2"/>
  <c r="AL4815" i="2" s="1"/>
  <c r="AI4815" i="2"/>
  <c r="AJ4815" i="2"/>
  <c r="AF4816" i="2"/>
  <c r="AK4816" i="2" s="1"/>
  <c r="AL4816" i="2" s="1"/>
  <c r="AG4816" i="2"/>
  <c r="AH4816" i="2"/>
  <c r="AI4816" i="2"/>
  <c r="AJ4816" i="2"/>
  <c r="AF4817" i="2"/>
  <c r="AK4817" i="2" s="1"/>
  <c r="AG4817" i="2"/>
  <c r="AH4817" i="2"/>
  <c r="AI4817" i="2"/>
  <c r="AJ4817" i="2"/>
  <c r="AF4818" i="2"/>
  <c r="AK4818" i="2"/>
  <c r="AG4818" i="2"/>
  <c r="AH4818" i="2"/>
  <c r="AI4818" i="2"/>
  <c r="AL4818" i="2" s="1"/>
  <c r="AJ4818" i="2"/>
  <c r="AF4819" i="2"/>
  <c r="AK4819" i="2" s="1"/>
  <c r="AL4819" i="2" s="1"/>
  <c r="AG4819" i="2"/>
  <c r="AH4819" i="2"/>
  <c r="AI4819" i="2"/>
  <c r="AJ4819" i="2"/>
  <c r="AF4820" i="2"/>
  <c r="AK4820" i="2" s="1"/>
  <c r="AG4820" i="2"/>
  <c r="AH4820" i="2"/>
  <c r="AI4820" i="2"/>
  <c r="AJ4820" i="2"/>
  <c r="AF4821" i="2"/>
  <c r="AK4821" i="2"/>
  <c r="AL4821" i="2" s="1"/>
  <c r="AG4821" i="2"/>
  <c r="AH4821" i="2"/>
  <c r="AI4821" i="2"/>
  <c r="AJ4821" i="2"/>
  <c r="AF4822" i="2"/>
  <c r="AK4822" i="2"/>
  <c r="AG4822" i="2"/>
  <c r="AL4822" i="2"/>
  <c r="AH4822" i="2"/>
  <c r="AI4822" i="2"/>
  <c r="AJ4822" i="2"/>
  <c r="AF4823" i="2"/>
  <c r="AK4823" i="2"/>
  <c r="AG4823" i="2"/>
  <c r="AL4823" i="2" s="1"/>
  <c r="AH4823" i="2"/>
  <c r="AI4823" i="2"/>
  <c r="AJ4823" i="2"/>
  <c r="AF4824" i="2"/>
  <c r="AK4824" i="2" s="1"/>
  <c r="AG4824" i="2"/>
  <c r="AH4824" i="2"/>
  <c r="AI4824" i="2"/>
  <c r="AJ4824" i="2"/>
  <c r="AF4825" i="2"/>
  <c r="AK4825" i="2"/>
  <c r="AG4825" i="2"/>
  <c r="AH4825" i="2"/>
  <c r="AI4825" i="2"/>
  <c r="AJ4825" i="2"/>
  <c r="AF4826" i="2"/>
  <c r="AK4826" i="2"/>
  <c r="AL4826" i="2" s="1"/>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s="1"/>
  <c r="AG4830" i="2"/>
  <c r="AH4830" i="2"/>
  <c r="AI4830" i="2"/>
  <c r="AJ4830" i="2"/>
  <c r="AF4831" i="2"/>
  <c r="AK4831" i="2"/>
  <c r="AG4831" i="2"/>
  <c r="AL4831" i="2" s="1"/>
  <c r="AH4831" i="2"/>
  <c r="AI4831" i="2"/>
  <c r="AJ4831" i="2"/>
  <c r="AF4832" i="2"/>
  <c r="AK4832" i="2" s="1"/>
  <c r="AG4832" i="2"/>
  <c r="AH4832" i="2"/>
  <c r="AI4832" i="2"/>
  <c r="AJ4832" i="2"/>
  <c r="AF4833" i="2"/>
  <c r="AK4833" i="2"/>
  <c r="AL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G4837" i="2"/>
  <c r="AH4837" i="2"/>
  <c r="AI4837" i="2"/>
  <c r="AJ4837" i="2"/>
  <c r="AF4838" i="2"/>
  <c r="AK4838" i="2"/>
  <c r="AL4838" i="2" s="1"/>
  <c r="AG4838" i="2"/>
  <c r="AH4838" i="2"/>
  <c r="AI4838" i="2"/>
  <c r="AJ4838" i="2"/>
  <c r="AF4839" i="2"/>
  <c r="AK4839" i="2" s="1"/>
  <c r="AG4839" i="2"/>
  <c r="AL4839" i="2" s="1"/>
  <c r="AH4839" i="2"/>
  <c r="AI4839" i="2"/>
  <c r="AJ4839" i="2"/>
  <c r="AF4840" i="2"/>
  <c r="AK4840" i="2"/>
  <c r="AG4840" i="2"/>
  <c r="AH4840" i="2"/>
  <c r="AL4840" i="2" s="1"/>
  <c r="AI4840" i="2"/>
  <c r="AJ4840" i="2"/>
  <c r="AF4841" i="2"/>
  <c r="AK4841" i="2" s="1"/>
  <c r="AG4841" i="2"/>
  <c r="AL4841" i="2" s="1"/>
  <c r="AH4841" i="2"/>
  <c r="AI4841" i="2"/>
  <c r="AJ4841" i="2"/>
  <c r="AF4842" i="2"/>
  <c r="AK4842" i="2" s="1"/>
  <c r="AG4842" i="2"/>
  <c r="AH4842" i="2"/>
  <c r="AL4842" i="2" s="1"/>
  <c r="AI4842" i="2"/>
  <c r="AJ4842" i="2"/>
  <c r="AF4843" i="2"/>
  <c r="AK4843" i="2"/>
  <c r="AG4843" i="2"/>
  <c r="AH4843" i="2"/>
  <c r="AI4843" i="2"/>
  <c r="AJ4843" i="2"/>
  <c r="AF4844" i="2"/>
  <c r="AK4844" i="2"/>
  <c r="AL4844" i="2" s="1"/>
  <c r="AG4844" i="2"/>
  <c r="AH4844" i="2"/>
  <c r="AI4844" i="2"/>
  <c r="AJ4844" i="2"/>
  <c r="AF4845" i="2"/>
  <c r="AK4845" i="2" s="1"/>
  <c r="AG4845" i="2"/>
  <c r="AH4845" i="2"/>
  <c r="AI4845" i="2"/>
  <c r="AJ4845" i="2"/>
  <c r="AF4846" i="2"/>
  <c r="AK4846" i="2"/>
  <c r="AG4846" i="2"/>
  <c r="AH4846" i="2"/>
  <c r="AL4846" i="2" s="1"/>
  <c r="AI4846" i="2"/>
  <c r="AJ4846" i="2"/>
  <c r="AF4847" i="2"/>
  <c r="AK4847" i="2"/>
  <c r="AG4847" i="2"/>
  <c r="AH4847" i="2"/>
  <c r="AL4847" i="2"/>
  <c r="AI4847" i="2"/>
  <c r="AJ4847" i="2"/>
  <c r="AF4848" i="2"/>
  <c r="AK4848" i="2" s="1"/>
  <c r="AG4848" i="2"/>
  <c r="AH4848" i="2"/>
  <c r="AI4848" i="2"/>
  <c r="AJ4848" i="2"/>
  <c r="AL4848" i="2" s="1"/>
  <c r="AF4849" i="2"/>
  <c r="AK4849" i="2"/>
  <c r="AG4849" i="2"/>
  <c r="AH4849" i="2"/>
  <c r="AL4849" i="2" s="1"/>
  <c r="AI4849" i="2"/>
  <c r="AJ4849" i="2"/>
  <c r="AF4850" i="2"/>
  <c r="AK4850" i="2" s="1"/>
  <c r="AL4850" i="2" s="1"/>
  <c r="AG4850" i="2"/>
  <c r="AH4850" i="2"/>
  <c r="AI4850" i="2"/>
  <c r="AJ4850" i="2"/>
  <c r="AF4851" i="2"/>
  <c r="AK4851" i="2" s="1"/>
  <c r="AG4851" i="2"/>
  <c r="AL4851" i="2" s="1"/>
  <c r="AH4851" i="2"/>
  <c r="AI4851" i="2"/>
  <c r="AJ4851" i="2"/>
  <c r="AF4852" i="2"/>
  <c r="AK4852" i="2"/>
  <c r="AG4852" i="2"/>
  <c r="AH4852" i="2"/>
  <c r="AL4852" i="2" s="1"/>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L4856" i="2" s="1"/>
  <c r="AG4856" i="2"/>
  <c r="AH4856" i="2"/>
  <c r="AI4856" i="2"/>
  <c r="AJ4856" i="2"/>
  <c r="AF4857" i="2"/>
  <c r="AK4857" i="2" s="1"/>
  <c r="AG4857" i="2"/>
  <c r="AH4857" i="2"/>
  <c r="AI4857" i="2"/>
  <c r="AJ4857" i="2"/>
  <c r="AF4858" i="2"/>
  <c r="AK4858" i="2"/>
  <c r="AG4858" i="2"/>
  <c r="AH4858" i="2"/>
  <c r="AL4858" i="2" s="1"/>
  <c r="AI4858" i="2"/>
  <c r="AJ4858" i="2"/>
  <c r="AF4859" i="2"/>
  <c r="AK4859" i="2" s="1"/>
  <c r="AG4859" i="2"/>
  <c r="AH4859" i="2"/>
  <c r="AI4859" i="2"/>
  <c r="AL4859" i="2" s="1"/>
  <c r="AJ4859" i="2"/>
  <c r="AF4860" i="2"/>
  <c r="AK4860" i="2" s="1"/>
  <c r="AL4860" i="2" s="1"/>
  <c r="AG4860" i="2"/>
  <c r="AH4860" i="2"/>
  <c r="AI4860" i="2"/>
  <c r="AJ4860" i="2"/>
  <c r="AF4861" i="2"/>
  <c r="AK4861" i="2" s="1"/>
  <c r="AL4861" i="2" s="1"/>
  <c r="AG4861" i="2"/>
  <c r="AH4861" i="2"/>
  <c r="AI4861" i="2"/>
  <c r="AJ4861" i="2"/>
  <c r="AF4862" i="2"/>
  <c r="AK4862" i="2"/>
  <c r="AL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I4865" i="2"/>
  <c r="AL4865" i="2" s="1"/>
  <c r="AJ4865" i="2"/>
  <c r="AF4866" i="2"/>
  <c r="AK4866" i="2" s="1"/>
  <c r="AG4866" i="2"/>
  <c r="AH4866" i="2"/>
  <c r="AI4866" i="2"/>
  <c r="AJ4866" i="2"/>
  <c r="AF4867" i="2"/>
  <c r="AK4867" i="2" s="1"/>
  <c r="AG4867" i="2"/>
  <c r="AL4867" i="2" s="1"/>
  <c r="AH4867" i="2"/>
  <c r="AI4867" i="2"/>
  <c r="AJ4867" i="2"/>
  <c r="AF4868" i="2"/>
  <c r="AK4868" i="2"/>
  <c r="AG4868" i="2"/>
  <c r="AL4868" i="2" s="1"/>
  <c r="AH4868" i="2"/>
  <c r="AI4868" i="2"/>
  <c r="AJ4868" i="2"/>
  <c r="AF4869" i="2"/>
  <c r="AK4869" i="2" s="1"/>
  <c r="AG4869" i="2"/>
  <c r="AH4869" i="2"/>
  <c r="AI4869" i="2"/>
  <c r="AJ4869" i="2"/>
  <c r="AF4870" i="2"/>
  <c r="AK4870" i="2"/>
  <c r="AG4870" i="2"/>
  <c r="AH4870" i="2"/>
  <c r="AL4870" i="2" s="1"/>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s="1"/>
  <c r="AG4878" i="2"/>
  <c r="AH4878" i="2"/>
  <c r="AI4878" i="2"/>
  <c r="AJ4878" i="2"/>
  <c r="AL4878" i="2" s="1"/>
  <c r="AF4879" i="2"/>
  <c r="AK4879" i="2"/>
  <c r="AG4879" i="2"/>
  <c r="AH4879" i="2"/>
  <c r="AI4879" i="2"/>
  <c r="AJ4879" i="2"/>
  <c r="AF4880" i="2"/>
  <c r="AK4880" i="2"/>
  <c r="AL4880" i="2" s="1"/>
  <c r="AG4880" i="2"/>
  <c r="AH4880" i="2"/>
  <c r="AI4880" i="2"/>
  <c r="AJ4880" i="2"/>
  <c r="AF4881" i="2"/>
  <c r="AK4881" i="2" s="1"/>
  <c r="AL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c r="AG4885" i="2"/>
  <c r="AH4885" i="2"/>
  <c r="AI4885" i="2"/>
  <c r="AJ4885" i="2"/>
  <c r="AF4886" i="2"/>
  <c r="AK4886" i="2"/>
  <c r="AL4886" i="2" s="1"/>
  <c r="AG4886" i="2"/>
  <c r="AH4886" i="2"/>
  <c r="AI4886" i="2"/>
  <c r="AJ4886" i="2"/>
  <c r="AF4887" i="2"/>
  <c r="AK4887" i="2" s="1"/>
  <c r="AL4887" i="2" s="1"/>
  <c r="AG4887" i="2"/>
  <c r="AH4887" i="2"/>
  <c r="AI4887" i="2"/>
  <c r="AJ4887" i="2"/>
  <c r="AF4888" i="2"/>
  <c r="AK4888" i="2"/>
  <c r="AG4888" i="2"/>
  <c r="AL4888" i="2"/>
  <c r="AH4888" i="2"/>
  <c r="AI4888" i="2"/>
  <c r="AJ4888" i="2"/>
  <c r="AF4889" i="2"/>
  <c r="AK4889" i="2"/>
  <c r="AG4889" i="2"/>
  <c r="AL4889" i="2" s="1"/>
  <c r="AH4889" i="2"/>
  <c r="AI4889" i="2"/>
  <c r="AJ4889" i="2"/>
  <c r="AF4890" i="2"/>
  <c r="AK4890" i="2" s="1"/>
  <c r="AG4890" i="2"/>
  <c r="AH4890" i="2"/>
  <c r="AI4890" i="2"/>
  <c r="AJ4890" i="2"/>
  <c r="AL4890" i="2" s="1"/>
  <c r="AF4891" i="2"/>
  <c r="AK4891" i="2"/>
  <c r="AG4891" i="2"/>
  <c r="AH4891" i="2"/>
  <c r="AL4891" i="2" s="1"/>
  <c r="AI4891" i="2"/>
  <c r="AJ4891" i="2"/>
  <c r="AF4892" i="2"/>
  <c r="AK4892" i="2" s="1"/>
  <c r="AL4892" i="2" s="1"/>
  <c r="AG4892" i="2"/>
  <c r="AH4892" i="2"/>
  <c r="AI4892" i="2"/>
  <c r="AJ4892" i="2"/>
  <c r="AF4893" i="2"/>
  <c r="AK4893" i="2" s="1"/>
  <c r="AG4893" i="2"/>
  <c r="AL4893" i="2" s="1"/>
  <c r="AH4893" i="2"/>
  <c r="AI4893" i="2"/>
  <c r="AJ4893" i="2"/>
  <c r="AF4894" i="2"/>
  <c r="AK4894" i="2"/>
  <c r="AG4894" i="2"/>
  <c r="AH4894" i="2"/>
  <c r="AL4894" i="2" s="1"/>
  <c r="AI4894" i="2"/>
  <c r="AJ4894" i="2"/>
  <c r="AF4895" i="2"/>
  <c r="AK4895" i="2" s="1"/>
  <c r="AG4895" i="2"/>
  <c r="AH4895" i="2"/>
  <c r="AI4895" i="2"/>
  <c r="AJ4895" i="2"/>
  <c r="AL4895" i="2" s="1"/>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L4899" i="2" s="1"/>
  <c r="AI4899" i="2"/>
  <c r="AJ4899" i="2"/>
  <c r="AF4900" i="2"/>
  <c r="AK4900" i="2"/>
  <c r="AG4900" i="2"/>
  <c r="AH4900" i="2"/>
  <c r="AI4900" i="2"/>
  <c r="AL4900" i="2" s="1"/>
  <c r="AJ4900" i="2"/>
  <c r="AF4901" i="2"/>
  <c r="AK4901" i="2" s="1"/>
  <c r="AG4901" i="2"/>
  <c r="AL4901" i="2" s="1"/>
  <c r="AH4901" i="2"/>
  <c r="AI4901" i="2"/>
  <c r="AJ4901" i="2"/>
  <c r="AF4902" i="2"/>
  <c r="AK4902" i="2"/>
  <c r="AG4902" i="2"/>
  <c r="AL4902" i="2" s="1"/>
  <c r="AH4902" i="2"/>
  <c r="AI4902" i="2"/>
  <c r="AJ4902" i="2"/>
  <c r="AF4903" i="2"/>
  <c r="AK4903" i="2" s="1"/>
  <c r="AL4903" i="2" s="1"/>
  <c r="AG4903" i="2"/>
  <c r="AH4903" i="2"/>
  <c r="AI4903" i="2"/>
  <c r="AJ4903" i="2"/>
  <c r="AF4904" i="2"/>
  <c r="AK4904" i="2" s="1"/>
  <c r="AG4904" i="2"/>
  <c r="AL4904" i="2" s="1"/>
  <c r="AH4904" i="2"/>
  <c r="AI4904" i="2"/>
  <c r="AJ4904" i="2"/>
  <c r="AF4905" i="2"/>
  <c r="AK4905" i="2"/>
  <c r="AG4905" i="2"/>
  <c r="AH4905" i="2"/>
  <c r="AI4905" i="2"/>
  <c r="AJ4905" i="2"/>
  <c r="AF4906" i="2"/>
  <c r="AK4906" i="2" s="1"/>
  <c r="AL4906" i="2" s="1"/>
  <c r="AG4906" i="2"/>
  <c r="AH4906" i="2"/>
  <c r="AI4906" i="2"/>
  <c r="AJ4906" i="2"/>
  <c r="AF4907" i="2"/>
  <c r="AK4907" i="2" s="1"/>
  <c r="AG4907" i="2"/>
  <c r="AL4907" i="2" s="1"/>
  <c r="AH4907" i="2"/>
  <c r="AI4907" i="2"/>
  <c r="AJ4907" i="2"/>
  <c r="AF4908" i="2"/>
  <c r="AK4908" i="2"/>
  <c r="AL4908" i="2" s="1"/>
  <c r="AG4908" i="2"/>
  <c r="AH4908" i="2"/>
  <c r="AI4908" i="2"/>
  <c r="AJ4908" i="2"/>
  <c r="AF4909" i="2"/>
  <c r="AK4909" i="2"/>
  <c r="AG4909" i="2"/>
  <c r="AL4909" i="2" s="1"/>
  <c r="AH4909" i="2"/>
  <c r="AI4909" i="2"/>
  <c r="AJ4909" i="2"/>
  <c r="AF4910" i="2"/>
  <c r="AK4910" i="2"/>
  <c r="AG4910" i="2"/>
  <c r="AH4910" i="2"/>
  <c r="AI4910" i="2"/>
  <c r="AL4910" i="2" s="1"/>
  <c r="AJ4910" i="2"/>
  <c r="AF4911" i="2"/>
  <c r="AK4911" i="2" s="1"/>
  <c r="AL4911" i="2" s="1"/>
  <c r="AG4911" i="2"/>
  <c r="AH4911" i="2"/>
  <c r="AI4911" i="2"/>
  <c r="AJ4911" i="2"/>
  <c r="AF4912" i="2"/>
  <c r="AK4912" i="2" s="1"/>
  <c r="AL4912" i="2" s="1"/>
  <c r="AG4912" i="2"/>
  <c r="AH4912" i="2"/>
  <c r="AI4912" i="2"/>
  <c r="AJ4912" i="2"/>
  <c r="AF4913" i="2"/>
  <c r="AK4913" i="2" s="1"/>
  <c r="AG4913" i="2"/>
  <c r="AH4913" i="2"/>
  <c r="AI4913" i="2"/>
  <c r="AJ4913" i="2"/>
  <c r="AF4914" i="2"/>
  <c r="AK4914" i="2"/>
  <c r="AG4914" i="2"/>
  <c r="AH4914" i="2"/>
  <c r="AI4914" i="2"/>
  <c r="AL4914" i="2" s="1"/>
  <c r="AJ4914" i="2"/>
  <c r="AF4915" i="2"/>
  <c r="AK4915" i="2" s="1"/>
  <c r="AG4915" i="2"/>
  <c r="AH4915" i="2"/>
  <c r="AI4915" i="2"/>
  <c r="AJ4915" i="2"/>
  <c r="AF4916" i="2"/>
  <c r="AK4916" i="2"/>
  <c r="AG4916" i="2"/>
  <c r="AH4916" i="2"/>
  <c r="AI4916" i="2"/>
  <c r="AJ4916" i="2"/>
  <c r="AF4917" i="2"/>
  <c r="AK4917" i="2"/>
  <c r="AL4917" i="2" s="1"/>
  <c r="AG4917" i="2"/>
  <c r="AH4917" i="2"/>
  <c r="AI4917" i="2"/>
  <c r="AJ4917" i="2"/>
  <c r="AF4918" i="2"/>
  <c r="AK4918" i="2" s="1"/>
  <c r="AL4918" i="2" s="1"/>
  <c r="AG4918" i="2"/>
  <c r="AH4918" i="2"/>
  <c r="AI4918" i="2"/>
  <c r="AJ4918" i="2"/>
  <c r="AF4919" i="2"/>
  <c r="AK4919" i="2"/>
  <c r="AG4919" i="2"/>
  <c r="AH4919" i="2"/>
  <c r="AL4919" i="2"/>
  <c r="AI4919" i="2"/>
  <c r="AJ4919" i="2"/>
  <c r="AF4920" i="2"/>
  <c r="AK4920" i="2" s="1"/>
  <c r="AG4920" i="2"/>
  <c r="AH4920" i="2"/>
  <c r="AI4920" i="2"/>
  <c r="AJ4920" i="2"/>
  <c r="AF4921" i="2"/>
  <c r="AK4921" i="2"/>
  <c r="AG4921" i="2"/>
  <c r="AH4921" i="2"/>
  <c r="AI4921" i="2"/>
  <c r="AJ4921" i="2"/>
  <c r="AF4922" i="2"/>
  <c r="AK4922" i="2"/>
  <c r="AL4922" i="2" s="1"/>
  <c r="AG4922" i="2"/>
  <c r="AH4922" i="2"/>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L4925" i="2" s="1"/>
  <c r="AF4926" i="2"/>
  <c r="AK4926" i="2"/>
  <c r="AG4926" i="2"/>
  <c r="AH4926" i="2"/>
  <c r="AI4926" i="2"/>
  <c r="AJ4926" i="2"/>
  <c r="AF4927" i="2"/>
  <c r="AK4927" i="2"/>
  <c r="AG4927" i="2"/>
  <c r="AL4927" i="2" s="1"/>
  <c r="AH4927" i="2"/>
  <c r="AI4927" i="2"/>
  <c r="AJ4927" i="2"/>
  <c r="AF4928" i="2"/>
  <c r="AK4928" i="2" s="1"/>
  <c r="AL4928" i="2" s="1"/>
  <c r="AG4928" i="2"/>
  <c r="AH4928" i="2"/>
  <c r="AI4928" i="2"/>
  <c r="AJ4928" i="2"/>
  <c r="AF4929" i="2"/>
  <c r="AK4929" i="2"/>
  <c r="AG4929" i="2"/>
  <c r="AH4929" i="2"/>
  <c r="AL4929" i="2" s="1"/>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c r="AL4933" i="2" s="1"/>
  <c r="AG4933" i="2"/>
  <c r="AH4933" i="2"/>
  <c r="AI4933" i="2"/>
  <c r="AJ4933" i="2"/>
  <c r="AF4934" i="2"/>
  <c r="AK4934" i="2" s="1"/>
  <c r="AL4934" i="2" s="1"/>
  <c r="AG4934" i="2"/>
  <c r="AH4934" i="2"/>
  <c r="AI4934" i="2"/>
  <c r="AJ4934" i="2"/>
  <c r="AF4935" i="2"/>
  <c r="AK4935" i="2"/>
  <c r="AG4935" i="2"/>
  <c r="AH4935" i="2"/>
  <c r="AI4935" i="2"/>
  <c r="AL4935" i="2" s="1"/>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L4939" i="2" s="1"/>
  <c r="AJ4939" i="2"/>
  <c r="AF4940" i="2"/>
  <c r="AK4940" i="2" s="1"/>
  <c r="AG4940" i="2"/>
  <c r="AH4940" i="2"/>
  <c r="AI4940" i="2"/>
  <c r="AJ4940" i="2"/>
  <c r="AF4941" i="2"/>
  <c r="AK4941" i="2"/>
  <c r="AG4941" i="2"/>
  <c r="AL4941" i="2" s="1"/>
  <c r="AH4941" i="2"/>
  <c r="AI4941" i="2"/>
  <c r="AJ4941" i="2"/>
  <c r="AF4942" i="2"/>
  <c r="AK4942" i="2" s="1"/>
  <c r="AG4942" i="2"/>
  <c r="AH4942" i="2"/>
  <c r="AI4942" i="2"/>
  <c r="AJ4942" i="2"/>
  <c r="AF4943" i="2"/>
  <c r="AK4943" i="2"/>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G4946" i="2"/>
  <c r="AH4946" i="2"/>
  <c r="AI4946" i="2"/>
  <c r="AJ4946" i="2"/>
  <c r="AF4947" i="2"/>
  <c r="AK4947" i="2"/>
  <c r="AL4947" i="2" s="1"/>
  <c r="AG4947" i="2"/>
  <c r="AH4947" i="2"/>
  <c r="AI4947" i="2"/>
  <c r="AJ4947" i="2"/>
  <c r="AF4948" i="2"/>
  <c r="AK4948" i="2" s="1"/>
  <c r="AL4948" i="2" s="1"/>
  <c r="AG4948" i="2"/>
  <c r="AH4948" i="2"/>
  <c r="AI4948" i="2"/>
  <c r="AJ4948" i="2"/>
  <c r="AF4949" i="2"/>
  <c r="AK4949" i="2" s="1"/>
  <c r="AG4949" i="2"/>
  <c r="AH4949" i="2"/>
  <c r="AI4949" i="2"/>
  <c r="AJ4949" i="2"/>
  <c r="AF4950" i="2"/>
  <c r="AK4950" i="2"/>
  <c r="AG4950" i="2"/>
  <c r="AL4950" i="2" s="1"/>
  <c r="AH4950" i="2"/>
  <c r="AI4950" i="2"/>
  <c r="AJ4950" i="2"/>
  <c r="AF4951" i="2"/>
  <c r="AK4951" i="2" s="1"/>
  <c r="AG4951" i="2"/>
  <c r="AH4951" i="2"/>
  <c r="AI4951" i="2"/>
  <c r="AJ4951" i="2"/>
  <c r="AF4952" i="2"/>
  <c r="AG4952" i="2"/>
  <c r="AH4952" i="2"/>
  <c r="AI4952" i="2"/>
  <c r="AJ4952" i="2"/>
  <c r="AK4952" i="2"/>
  <c r="AF4953" i="2"/>
  <c r="AK4953" i="2"/>
  <c r="AL4953" i="2" s="1"/>
  <c r="AG4953" i="2"/>
  <c r="AH4953" i="2"/>
  <c r="AI4953" i="2"/>
  <c r="AJ4953" i="2"/>
  <c r="AF4954" i="2"/>
  <c r="AK4954" i="2" s="1"/>
  <c r="AG4954" i="2"/>
  <c r="AH4954" i="2"/>
  <c r="AL4954" i="2" s="1"/>
  <c r="AI4954" i="2"/>
  <c r="AJ4954" i="2"/>
  <c r="AF4955" i="2"/>
  <c r="AK4955" i="2"/>
  <c r="AG4955" i="2"/>
  <c r="AH4955" i="2"/>
  <c r="AI4955" i="2"/>
  <c r="AL4955" i="2" s="1"/>
  <c r="AJ4955" i="2"/>
  <c r="AF4956" i="2"/>
  <c r="AK4956" i="2" s="1"/>
  <c r="AL4956" i="2" s="1"/>
  <c r="AG4956" i="2"/>
  <c r="AH4956" i="2"/>
  <c r="AI4956" i="2"/>
  <c r="AJ4956" i="2"/>
  <c r="AF4957" i="2"/>
  <c r="AK4957" i="2" s="1"/>
  <c r="AG4957" i="2"/>
  <c r="AL4957" i="2" s="1"/>
  <c r="AH4957" i="2"/>
  <c r="AI4957" i="2"/>
  <c r="AJ4957" i="2"/>
  <c r="AF4958" i="2"/>
  <c r="AK4958" i="2"/>
  <c r="AL4958" i="2" s="1"/>
  <c r="AG4958" i="2"/>
  <c r="AH4958" i="2"/>
  <c r="AI4958" i="2"/>
  <c r="AJ4958" i="2"/>
  <c r="AF4959" i="2"/>
  <c r="AK4959" i="2" s="1"/>
  <c r="AG4959" i="2"/>
  <c r="AH4959" i="2"/>
  <c r="AI4959" i="2"/>
  <c r="AJ4959" i="2"/>
  <c r="AF4960" i="2"/>
  <c r="AK4960" i="2" s="1"/>
  <c r="AG4960" i="2"/>
  <c r="AH4960" i="2"/>
  <c r="AI4960" i="2"/>
  <c r="AJ4960" i="2"/>
  <c r="AL4960" i="2" s="1"/>
  <c r="AF4961" i="2"/>
  <c r="AK4961" i="2"/>
  <c r="AG4961" i="2"/>
  <c r="AH4961" i="2"/>
  <c r="AI4961" i="2"/>
  <c r="AJ4961" i="2"/>
  <c r="AF4962" i="2"/>
  <c r="AK4962" i="2"/>
  <c r="AG4962" i="2"/>
  <c r="AH4962" i="2"/>
  <c r="AL4962" i="2" s="1"/>
  <c r="AI4962" i="2"/>
  <c r="AJ4962" i="2"/>
  <c r="AF4963" i="2"/>
  <c r="AK4963" i="2" s="1"/>
  <c r="AG4963" i="2"/>
  <c r="AH4963" i="2"/>
  <c r="AI4963" i="2"/>
  <c r="AJ4963" i="2"/>
  <c r="AF4964" i="2"/>
  <c r="AK4964" i="2" s="1"/>
  <c r="AG4964" i="2"/>
  <c r="AH4964" i="2"/>
  <c r="AI4964" i="2"/>
  <c r="AJ4964" i="2"/>
  <c r="AF4965" i="2"/>
  <c r="AK4965" i="2" s="1"/>
  <c r="AG4965" i="2"/>
  <c r="AL4965" i="2" s="1"/>
  <c r="AH4965" i="2"/>
  <c r="AI4965" i="2"/>
  <c r="AJ4965" i="2"/>
  <c r="AF4966" i="2"/>
  <c r="AK4966" i="2" s="1"/>
  <c r="AL4966" i="2" s="1"/>
  <c r="AG4966" i="2"/>
  <c r="AH4966" i="2"/>
  <c r="AI4966" i="2"/>
  <c r="AJ4966" i="2"/>
  <c r="AF4967" i="2"/>
  <c r="AK4967" i="2" s="1"/>
  <c r="AL4967" i="2" s="1"/>
  <c r="AG4967" i="2"/>
  <c r="AH4967" i="2"/>
  <c r="AI4967" i="2"/>
  <c r="AJ4967" i="2"/>
  <c r="AF4968" i="2"/>
  <c r="AK4968" i="2"/>
  <c r="AL4968" i="2" s="1"/>
  <c r="AG4968" i="2"/>
  <c r="AH4968" i="2"/>
  <c r="AI4968" i="2"/>
  <c r="AJ4968" i="2"/>
  <c r="AF4969" i="2"/>
  <c r="AK4969" i="2" s="1"/>
  <c r="AG4969" i="2"/>
  <c r="AL4969" i="2" s="1"/>
  <c r="AH4969" i="2"/>
  <c r="AI4969" i="2"/>
  <c r="AJ4969" i="2"/>
  <c r="AF4970" i="2"/>
  <c r="AK4970" i="2"/>
  <c r="AG4970" i="2"/>
  <c r="AL4970" i="2" s="1"/>
  <c r="AH4970" i="2"/>
  <c r="AI4970" i="2"/>
  <c r="AJ4970" i="2"/>
  <c r="AF4971" i="2"/>
  <c r="AK4971" i="2" s="1"/>
  <c r="AG4971" i="2"/>
  <c r="AL4971" i="2" s="1"/>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L4976" i="2" s="1"/>
  <c r="AJ4976" i="2"/>
  <c r="AF4977" i="2"/>
  <c r="AK4977" i="2" s="1"/>
  <c r="AG4977" i="2"/>
  <c r="AH4977" i="2"/>
  <c r="AI4977" i="2"/>
  <c r="AJ4977" i="2"/>
  <c r="AF4978" i="2"/>
  <c r="AK4978" i="2"/>
  <c r="AG4978" i="2"/>
  <c r="AH4978" i="2"/>
  <c r="AL4978" i="2" s="1"/>
  <c r="AI4978" i="2"/>
  <c r="AJ4978" i="2"/>
  <c r="AF4979" i="2"/>
  <c r="AK4979" i="2" s="1"/>
  <c r="AL4979" i="2" s="1"/>
  <c r="AG4979" i="2"/>
  <c r="AH4979" i="2"/>
  <c r="AI4979" i="2"/>
  <c r="AJ4979" i="2"/>
  <c r="AF4980" i="2"/>
  <c r="AK4980" i="2" s="1"/>
  <c r="AG4980" i="2"/>
  <c r="AH4980" i="2"/>
  <c r="AI4980" i="2"/>
  <c r="AJ4980" i="2"/>
  <c r="AF4981" i="2"/>
  <c r="AK4981" i="2"/>
  <c r="AG4981" i="2"/>
  <c r="AH4981" i="2"/>
  <c r="AI4981" i="2"/>
  <c r="AL4981" i="2" s="1"/>
  <c r="AJ4981" i="2"/>
  <c r="AF4982" i="2"/>
  <c r="AK4982" i="2" s="1"/>
  <c r="AG4982" i="2"/>
  <c r="AH4982" i="2"/>
  <c r="AI4982" i="2"/>
  <c r="AJ4982" i="2"/>
  <c r="AF4983" i="2"/>
  <c r="AK4983" i="2"/>
  <c r="AG4983" i="2"/>
  <c r="AL4983" i="2" s="1"/>
  <c r="AH4983" i="2"/>
  <c r="AI4983" i="2"/>
  <c r="AJ4983" i="2"/>
  <c r="AF4984" i="2"/>
  <c r="AK4984" i="2" s="1"/>
  <c r="AG4984" i="2"/>
  <c r="AH4984" i="2"/>
  <c r="AI4984" i="2"/>
  <c r="AJ4984" i="2"/>
  <c r="AF4985" i="2"/>
  <c r="AK4985" i="2"/>
  <c r="AL4985" i="2" s="1"/>
  <c r="AG4985" i="2"/>
  <c r="AH4985" i="2"/>
  <c r="AI4985" i="2"/>
  <c r="AJ4985" i="2"/>
  <c r="AF4986" i="2"/>
  <c r="AK4986" i="2" s="1"/>
  <c r="AG4986" i="2"/>
  <c r="AH4986" i="2"/>
  <c r="AL4986" i="2" s="1"/>
  <c r="AI4986" i="2"/>
  <c r="AJ4986" i="2"/>
  <c r="AF4987" i="2"/>
  <c r="AK4987" i="2"/>
  <c r="AG4987" i="2"/>
  <c r="AH4987" i="2"/>
  <c r="AI4987" i="2"/>
  <c r="AL4987" i="2" s="1"/>
  <c r="AJ4987" i="2"/>
  <c r="AF4988" i="2"/>
  <c r="AK4988" i="2" s="1"/>
  <c r="AG4988" i="2"/>
  <c r="AL4988" i="2" s="1"/>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G4992" i="2"/>
  <c r="AL4992" i="2" s="1"/>
  <c r="AH4992" i="2"/>
  <c r="AI4992" i="2"/>
  <c r="AJ4992" i="2"/>
  <c r="AF4993" i="2"/>
  <c r="AK4993" i="2"/>
  <c r="AG4993" i="2"/>
  <c r="AL4993" i="2" s="1"/>
  <c r="AH4993" i="2"/>
  <c r="AI4993" i="2"/>
  <c r="AJ4993" i="2"/>
  <c r="AF4994" i="2"/>
  <c r="AK4994" i="2" s="1"/>
  <c r="AG4994" i="2"/>
  <c r="AH4994" i="2"/>
  <c r="AI4994" i="2"/>
  <c r="AJ4994" i="2"/>
  <c r="AL4994" i="2" s="1"/>
  <c r="AF4995" i="2"/>
  <c r="AK4995" i="2"/>
  <c r="AG4995" i="2"/>
  <c r="AH4995" i="2"/>
  <c r="AL4995" i="2" s="1"/>
  <c r="AI4995" i="2"/>
  <c r="AJ4995" i="2"/>
  <c r="AF4996" i="2"/>
  <c r="AK4996" i="2" s="1"/>
  <c r="AL4996" i="2" s="1"/>
  <c r="AG4996" i="2"/>
  <c r="AH4996" i="2"/>
  <c r="AI4996" i="2"/>
  <c r="AJ4996" i="2"/>
  <c r="AF4997" i="2"/>
  <c r="AK4997" i="2"/>
  <c r="AL4997" i="2" s="1"/>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56" i="2"/>
  <c r="AL3650" i="2"/>
  <c r="AL3643" i="2"/>
  <c r="AL3624" i="2"/>
  <c r="AL3618" i="2"/>
  <c r="AL3605" i="2"/>
  <c r="AL3592"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47" i="2"/>
  <c r="AM47" i="2" s="1"/>
  <c r="AL89" i="2"/>
  <c r="AL81" i="2"/>
  <c r="AL73" i="2"/>
  <c r="AL65" i="2"/>
  <c r="AL57" i="2"/>
  <c r="AL49" i="2"/>
  <c r="AL75" i="2"/>
  <c r="AL67" i="2"/>
  <c r="AL59" i="2"/>
  <c r="AL51" i="2"/>
  <c r="AM16" i="2"/>
  <c r="AM14"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12" i="2"/>
  <c r="AL3996" i="2"/>
  <c r="AL3980" i="2"/>
  <c r="AL4353" i="2"/>
  <c r="AL4339" i="2"/>
  <c r="AL4312" i="2"/>
  <c r="AL4201" i="2"/>
  <c r="AL4144" i="2"/>
  <c r="AL4137" i="2"/>
  <c r="AL4080" i="2"/>
  <c r="AL4067" i="2"/>
  <c r="AL4060" i="2"/>
  <c r="AL4049" i="2"/>
  <c r="AL4028" i="2"/>
  <c r="AL4417" i="2"/>
  <c r="AL4392" i="2"/>
  <c r="AL4357" i="2"/>
  <c r="AL4305" i="2"/>
  <c r="AL4299" i="2"/>
  <c r="AL4284" i="2"/>
  <c r="AL4273" i="2"/>
  <c r="AL4245" i="2"/>
  <c r="AL4232" i="2"/>
  <c r="AL4223" i="2"/>
  <c r="AL4188" i="2"/>
  <c r="AL4181" i="2"/>
  <c r="AL4159" i="2"/>
  <c r="AL4104" i="2"/>
  <c r="AL4095" i="2"/>
  <c r="AL4016" i="2"/>
  <c r="AL4000" i="2"/>
  <c r="AL3984" i="2"/>
  <c r="AL3968" i="2"/>
  <c r="AL4369" i="2"/>
  <c r="AL4355" i="2"/>
  <c r="AL4247" i="2"/>
  <c r="AL4243" i="2"/>
  <c r="AL4185" i="2"/>
  <c r="AL4183" i="2"/>
  <c r="AL4179" i="2"/>
  <c r="AL4121" i="2"/>
  <c r="AL4115" i="2"/>
  <c r="AL4469" i="2"/>
  <c r="AL4401" i="2"/>
  <c r="AL4363" i="2"/>
  <c r="AL4336" i="2"/>
  <c r="AL4307" i="2"/>
  <c r="AL4281" i="2"/>
  <c r="AL4279" i="2"/>
  <c r="AL4275" i="2"/>
  <c r="AL4229" i="2"/>
  <c r="AL4216" i="2"/>
  <c r="AL4209" i="2"/>
  <c r="AL4207" i="2"/>
  <c r="AL4203" i="2"/>
  <c r="AL4172" i="2"/>
  <c r="AL4152" i="2"/>
  <c r="AL4139" i="2"/>
  <c r="AL4108" i="2"/>
  <c r="AL4088" i="2"/>
  <c r="AL4020" i="2"/>
  <c r="AL4004" i="2"/>
  <c r="AL3972" i="2"/>
  <c r="AL3930" i="2"/>
  <c r="AL3926" i="2"/>
  <c r="AL3893" i="2"/>
  <c r="AL3842" i="2"/>
  <c r="AL3829" i="2"/>
  <c r="AL3822" i="2"/>
  <c r="AL3820" i="2"/>
  <c r="AL3788" i="2"/>
  <c r="AL3770" i="2"/>
  <c r="AL3759" i="2"/>
  <c r="AL3698" i="2"/>
  <c r="AL3658" i="2"/>
  <c r="AL3471" i="2"/>
  <c r="AL3450" i="2"/>
  <c r="AL3298" i="2"/>
  <c r="AL3942" i="2"/>
  <c r="AL3890" i="2"/>
  <c r="AL3767" i="2"/>
  <c r="AL3570" i="2"/>
  <c r="AL3511" i="2"/>
  <c r="AL4058" i="2"/>
  <c r="AL4042" i="2"/>
  <c r="AL4026" i="2"/>
  <c r="AL3954" i="2"/>
  <c r="AL3909" i="2"/>
  <c r="AL3894" i="2"/>
  <c r="AL3857" i="2"/>
  <c r="AL3850" i="2"/>
  <c r="AL3837" i="2"/>
  <c r="AL3828" i="2"/>
  <c r="AL3781" i="2"/>
  <c r="AL3731" i="2"/>
  <c r="AL3707" i="2"/>
  <c r="AL3704" i="2"/>
  <c r="AL3645" i="2"/>
  <c r="AL3567" i="2"/>
  <c r="AL3263" i="2"/>
  <c r="AL3194" i="2"/>
  <c r="AL3962" i="2"/>
  <c r="AL3921" i="2"/>
  <c r="AL3917" i="2"/>
  <c r="AL3898" i="2"/>
  <c r="AL3861" i="2"/>
  <c r="AL3852" i="2"/>
  <c r="AL3817" i="2"/>
  <c r="AL3797" i="2"/>
  <c r="AL3746" i="2"/>
  <c r="AL3724" i="2"/>
  <c r="AL3708" i="2"/>
  <c r="AL3663" i="2"/>
  <c r="AL3621" i="2"/>
  <c r="AL3599" i="2"/>
  <c r="AL4054" i="2"/>
  <c r="AL4038" i="2"/>
  <c r="AL4022" i="2"/>
  <c r="AL4018" i="2"/>
  <c r="AL4014"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558" i="2"/>
  <c r="AL4447" i="2"/>
  <c r="AL4583" i="2"/>
  <c r="AL4272" i="2"/>
  <c r="AL4215" i="2"/>
  <c r="AL4169" i="2"/>
  <c r="AL4163" i="2"/>
  <c r="AL4157" i="2"/>
  <c r="AL4086" i="2"/>
  <c r="AL3935" i="2"/>
  <c r="AL3897" i="2"/>
  <c r="AL3803" i="2"/>
  <c r="AL4221" i="2"/>
  <c r="AL4151" i="2"/>
  <c r="AL4135" i="2"/>
  <c r="AL3862" i="2"/>
  <c r="AL4126" i="2"/>
  <c r="AL4624" i="2"/>
  <c r="AL4455" i="2"/>
  <c r="AL4335" i="2"/>
  <c r="AL4326" i="2"/>
  <c r="AL4658" i="2"/>
  <c r="AL4436" i="2"/>
  <c r="AL4226" i="2"/>
  <c r="AL4219" i="2"/>
  <c r="AL4193" i="2"/>
  <c r="AL4158" i="2"/>
  <c r="AL4130" i="2"/>
  <c r="AL3812"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40" i="2"/>
  <c r="AL3818" i="2"/>
  <c r="AL3424" i="2"/>
  <c r="AL3407" i="2"/>
  <c r="AL2979" i="2"/>
  <c r="AL2743" i="2"/>
  <c r="AL2615" i="2"/>
  <c r="AL2487" i="2"/>
  <c r="AL4041" i="2"/>
  <c r="AL3992" i="2"/>
  <c r="AL3922"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324" i="2"/>
  <c r="AL4278" i="2"/>
  <c r="AL4225" i="2"/>
  <c r="AL4141" i="2"/>
  <c r="AL4813" i="2"/>
  <c r="AL4599" i="2"/>
  <c r="AL4459" i="2"/>
  <c r="AL4433" i="2"/>
  <c r="AL4303" i="2"/>
  <c r="AL3843" i="2"/>
  <c r="AL4654" i="2"/>
  <c r="AL4528" i="2"/>
  <c r="AL4493" i="2"/>
  <c r="AL4466" i="2"/>
  <c r="AL4738" i="2"/>
  <c r="AL4734" i="2"/>
  <c r="AL4724" i="2"/>
  <c r="AL4644" i="2"/>
  <c r="AL4581" i="2"/>
  <c r="AL4494" i="2"/>
  <c r="AL4478" i="2"/>
  <c r="AL4454" i="2"/>
  <c r="AL4431" i="2"/>
  <c r="AL4345" i="2"/>
  <c r="AL4338" i="2"/>
  <c r="AL4007" i="2"/>
  <c r="AL4798" i="2"/>
  <c r="AL4736" i="2"/>
  <c r="AL4684" i="2"/>
  <c r="AL4633" i="2"/>
  <c r="AL4571" i="2"/>
  <c r="AL4549" i="2"/>
  <c r="AL4461" i="2"/>
  <c r="AL4439" i="2"/>
  <c r="AL4365" i="2"/>
  <c r="AL4330" i="2"/>
  <c r="AL4262" i="2"/>
  <c r="AL4166" i="2"/>
  <c r="AL4142" i="2"/>
  <c r="AL3824" i="2"/>
  <c r="AL3659" i="2"/>
  <c r="AL4359" i="2"/>
  <c r="AL4342" i="2"/>
  <c r="AL4241" i="2"/>
  <c r="AL4238" i="2"/>
  <c r="AL4094" i="2"/>
  <c r="AL4017" i="2"/>
  <c r="AL3855" i="2"/>
  <c r="AL3808" i="2"/>
  <c r="AL4428" i="2"/>
  <c r="AL4029" i="2"/>
  <c r="AL4343" i="2"/>
  <c r="AL4261" i="2"/>
  <c r="AL4091" i="2"/>
  <c r="AL4044" i="2"/>
  <c r="AL4033" i="2"/>
  <c r="AL3991" i="2"/>
  <c r="AL3904" i="2"/>
  <c r="AL3869" i="2"/>
  <c r="AL4327" i="2"/>
  <c r="AL4202" i="2"/>
  <c r="AL4106"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113" i="2"/>
  <c r="AL4047" i="2"/>
  <c r="AL4011"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903" i="2"/>
  <c r="AL3807" i="2"/>
  <c r="AL3748" i="2"/>
  <c r="AL3745" i="2"/>
  <c r="AL3703" i="2"/>
  <c r="AL3690" i="2"/>
  <c r="AL3578" i="2"/>
  <c r="AL3186" i="2"/>
  <c r="AL4297" i="2"/>
  <c r="AL4286" i="2"/>
  <c r="AL4227" i="2"/>
  <c r="AL4174" i="2"/>
  <c r="AL4138"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20" i="2"/>
  <c r="AL4482" i="2"/>
  <c r="AL4398" i="2"/>
  <c r="AL4388" i="2"/>
  <c r="AL4716" i="2"/>
  <c r="AL4601" i="2"/>
  <c r="AL4396" i="2"/>
  <c r="AL4974" i="2"/>
  <c r="AL4952" i="2"/>
  <c r="AL4668" i="2"/>
  <c r="AL4611" i="2"/>
  <c r="AL4591" i="2"/>
  <c r="AL4332" i="2"/>
  <c r="AL4750" i="2"/>
  <c r="AL4636" i="2"/>
  <c r="AL4617" i="2"/>
  <c r="AL4518" i="2"/>
  <c r="AL4837" i="2"/>
  <c r="AL4706" i="2"/>
  <c r="AL4629" i="2"/>
  <c r="AL4487" i="2"/>
  <c r="AL4453" i="2"/>
  <c r="AL4334" i="2"/>
  <c r="AL4233" i="2"/>
  <c r="AL4875" i="2"/>
  <c r="AL4802" i="2"/>
  <c r="AL4516" i="2"/>
  <c r="AL4503" i="2"/>
  <c r="AL4445" i="2"/>
  <c r="AL4346" i="2"/>
  <c r="AL4443" i="2"/>
  <c r="AL4253" i="2"/>
  <c r="AL4171" i="2"/>
  <c r="AL4154" i="2"/>
  <c r="AL4132" i="2"/>
  <c r="AL4093" i="2"/>
  <c r="AL3985" i="2"/>
  <c r="AL3975" i="2"/>
  <c r="AL3802" i="2"/>
  <c r="AL3524" i="2"/>
  <c r="AL3478" i="2"/>
  <c r="AL3416" i="2"/>
  <c r="AL4177" i="2"/>
  <c r="AL4168" i="2"/>
  <c r="AL4155" i="2"/>
  <c r="AL4090" i="2"/>
  <c r="AL4055" i="2"/>
  <c r="AL3938" i="2"/>
  <c r="AL4161" i="2"/>
  <c r="AL4073" i="2"/>
  <c r="AL3912" i="2"/>
  <c r="AL3833" i="2"/>
  <c r="AL3826" i="2"/>
  <c r="AL3715" i="2"/>
  <c r="AL3702" i="2"/>
  <c r="AL3562" i="2"/>
  <c r="AL4441" i="2"/>
  <c r="AL4230" i="2"/>
  <c r="AL4205" i="2"/>
  <c r="AL3997" i="2"/>
  <c r="AL3882" i="2"/>
  <c r="AL3876" i="2"/>
  <c r="AL3859" i="2"/>
  <c r="AL3791" i="2"/>
  <c r="AL3608" i="2"/>
  <c r="AL4384" i="2"/>
  <c r="AL4249" i="2"/>
  <c r="AL4237" i="2"/>
  <c r="AL4231" i="2"/>
  <c r="AL4103" i="2"/>
  <c r="AL407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797" i="2"/>
  <c r="AL4649" i="2"/>
  <c r="AL4597" i="2"/>
  <c r="AL4579" i="2"/>
  <c r="AL4973"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771" i="2"/>
  <c r="AL4733" i="2"/>
  <c r="AL4556" i="2"/>
  <c r="AL4537" i="2"/>
  <c r="AL4926" i="2"/>
  <c r="AL4896" i="2"/>
  <c r="AL4874" i="2"/>
  <c r="AL4772" i="2"/>
  <c r="AL4730" i="2"/>
  <c r="AL4582" i="2"/>
  <c r="AL4961" i="2"/>
  <c r="AL4843" i="2"/>
  <c r="AL4825" i="2"/>
  <c r="AL4789" i="2"/>
  <c r="AL4758" i="2"/>
  <c r="AL4751" i="2"/>
  <c r="AL4675" i="2"/>
  <c r="AL4604" i="2"/>
  <c r="AL4594" i="2"/>
  <c r="AL4550" i="2"/>
  <c r="AL4506" i="2"/>
  <c r="AL4452" i="2"/>
  <c r="AL4686" i="2"/>
  <c r="AL4635" i="2"/>
  <c r="AL4580" i="2"/>
  <c r="AL4574" i="2"/>
  <c r="AL4548" i="2"/>
  <c r="AL4522" i="2"/>
  <c r="AL4449" i="2"/>
  <c r="AL4921" i="2"/>
  <c r="AL4905" i="2"/>
  <c r="AL4879" i="2"/>
  <c r="AL4689" i="2"/>
  <c r="AL4645" i="2"/>
  <c r="AL4623" i="2"/>
  <c r="AL4619" i="2"/>
  <c r="AL4586" i="2"/>
  <c r="AL4650" i="2"/>
  <c r="AL4572" i="2"/>
  <c r="AL4554" i="2"/>
  <c r="AL4525" i="2"/>
  <c r="AL4412" i="2"/>
  <c r="AL440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2" i="2" l="1"/>
  <c r="AM42" i="2" s="1"/>
  <c r="AL41" i="2"/>
  <c r="AM41" i="2" s="1"/>
  <c r="AL40" i="2"/>
  <c r="AM40" i="2" s="1"/>
  <c r="AL38" i="2"/>
  <c r="AM38" i="2" s="1"/>
  <c r="AL37" i="2"/>
  <c r="AM37" i="2" s="1"/>
  <c r="AL35" i="2"/>
  <c r="AM35" i="2" s="1"/>
  <c r="AL26" i="2"/>
  <c r="AM26" i="2" s="1"/>
  <c r="AL24" i="2"/>
  <c r="AM24" i="2" s="1"/>
  <c r="AL20" i="2"/>
  <c r="AM20" i="2" s="1"/>
  <c r="AL19" i="2"/>
  <c r="AM19" i="2" s="1"/>
  <c r="AL46" i="2"/>
  <c r="AL45" i="2"/>
  <c r="AM45" i="2" s="1"/>
  <c r="AL44" i="2"/>
  <c r="AM44" i="2" s="1"/>
  <c r="AL43" i="2"/>
  <c r="AM43" i="2" s="1"/>
  <c r="AL39" i="2"/>
  <c r="AM39" i="2" s="1"/>
  <c r="AL36" i="2"/>
  <c r="AM36" i="2" s="1"/>
  <c r="AL33" i="2"/>
  <c r="AM33" i="2" s="1"/>
  <c r="AL32" i="2"/>
  <c r="AM32" i="2" s="1"/>
  <c r="AL31" i="2"/>
  <c r="AM31" i="2" s="1"/>
  <c r="AL30" i="2"/>
  <c r="AM30" i="2" s="1"/>
  <c r="AL29" i="2"/>
  <c r="AM29" i="2" s="1"/>
  <c r="AL28" i="2"/>
  <c r="AM28" i="2" s="1"/>
  <c r="AL27" i="2"/>
  <c r="AM27" i="2" s="1"/>
  <c r="AL25" i="2"/>
  <c r="AM25" i="2" s="1"/>
  <c r="AL23" i="2"/>
  <c r="AM23" i="2" s="1"/>
  <c r="AL22" i="2"/>
  <c r="AM22" i="2" s="1"/>
  <c r="AL21" i="2"/>
  <c r="AM21" i="2" s="1"/>
  <c r="AL17" i="2"/>
  <c r="AM17" i="2" s="1"/>
  <c r="AL16" i="2"/>
  <c r="AL15" i="2"/>
  <c r="AM15" i="2" s="1"/>
  <c r="AL14" i="2"/>
  <c r="AL13" i="2"/>
  <c r="AM13" i="2" s="1"/>
  <c r="AL10" i="2"/>
  <c r="AM10" i="2" s="1"/>
  <c r="AL9" i="2"/>
  <c r="AM9" i="2" s="1"/>
  <c r="AL8" i="2"/>
  <c r="AM8" i="2" s="1"/>
  <c r="AL7" i="2"/>
  <c r="AM7" i="2" s="1"/>
  <c r="AL6" i="2"/>
  <c r="AM6" i="2" s="1"/>
  <c r="AL18" i="2"/>
  <c r="AM18" i="2" s="1"/>
  <c r="AL34" i="2"/>
  <c r="AM34" i="2" s="1"/>
  <c r="AL12" i="2"/>
  <c r="AM12" i="2" s="1"/>
  <c r="AL4990" i="2"/>
  <c r="AL4984" i="2"/>
  <c r="AL4951" i="2"/>
  <c r="AL4915" i="2"/>
  <c r="AL4836" i="2"/>
  <c r="AL4963" i="2"/>
  <c r="AL4938" i="2"/>
  <c r="AL4932" i="2"/>
  <c r="AL4920" i="2"/>
  <c r="AL4871" i="2"/>
  <c r="AL4845" i="2"/>
  <c r="AL4832" i="2"/>
  <c r="AL4812" i="2"/>
  <c r="AL4866" i="2"/>
  <c r="AL4982" i="2"/>
  <c r="AL4964" i="2"/>
  <c r="AL4946" i="2"/>
  <c r="AL4945" i="2"/>
  <c r="AL4942" i="2"/>
  <c r="AL4930" i="2"/>
  <c r="AL4923" i="2"/>
  <c r="AL4830" i="2"/>
  <c r="AL4824" i="2"/>
  <c r="AL4776" i="2"/>
  <c r="AL4913" i="2"/>
  <c r="AL4869" i="2"/>
  <c r="AL4977" i="2"/>
  <c r="AL4940" i="2"/>
  <c r="AL4873" i="2"/>
  <c r="AL4854" i="2"/>
  <c r="AL4980" i="2"/>
  <c r="AL4959" i="2"/>
  <c r="AL4949" i="2"/>
  <c r="AL4898" i="2"/>
  <c r="AL4863" i="2"/>
  <c r="AL4857" i="2"/>
  <c r="AL4820" i="2"/>
  <c r="AL4817" i="2"/>
  <c r="AL4795" i="2"/>
  <c r="AL4763" i="2"/>
  <c r="AL4747" i="2"/>
  <c r="AL4737" i="2"/>
  <c r="AL4722" i="2"/>
  <c r="AL4715" i="2"/>
  <c r="AL4708" i="2"/>
  <c r="AL4695" i="2"/>
  <c r="AL4673" i="2"/>
  <c r="AL4660" i="2"/>
  <c r="AL4657" i="2"/>
  <c r="AL4627" i="2"/>
  <c r="AL4530" i="2"/>
  <c r="AL4524" i="2"/>
  <c r="AL4480" i="2"/>
  <c r="AL4474" i="2"/>
  <c r="AL4457" i="2"/>
  <c r="AL4448" i="2"/>
  <c r="AL4760" i="2"/>
  <c r="AL4757" i="2"/>
  <c r="AL4754" i="2"/>
  <c r="AL4744" i="2"/>
  <c r="AL4740" i="2"/>
  <c r="AL4726" i="2"/>
  <c r="AL4705" i="2"/>
  <c r="AL4702" i="2"/>
  <c r="AL4631" i="2"/>
  <c r="AL4567" i="2"/>
  <c r="AL4534" i="2"/>
  <c r="AL4490" i="2"/>
  <c r="AL4484" i="2"/>
  <c r="AL4422" i="2"/>
  <c r="AL4814" i="2"/>
  <c r="AL4809" i="2"/>
  <c r="AL4800" i="2"/>
  <c r="AL4788" i="2"/>
  <c r="AL4764" i="2"/>
  <c r="AL4755" i="2"/>
  <c r="AL4622" i="2"/>
  <c r="AL4598" i="2"/>
  <c r="AL4376" i="2"/>
  <c r="AL4803" i="2"/>
  <c r="AL4805" i="2"/>
  <c r="AL4768" i="2"/>
  <c r="AL4727" i="2"/>
  <c r="AL4713" i="2"/>
  <c r="AL4707" i="2"/>
  <c r="AL4703" i="2"/>
  <c r="AL4700" i="2"/>
  <c r="AL4696" i="2"/>
  <c r="AL4674" i="2"/>
  <c r="AL4661" i="2"/>
  <c r="AL4655" i="2"/>
  <c r="AL4625" i="2"/>
  <c r="AL4602" i="2"/>
  <c r="AL4595" i="2"/>
  <c r="AL4589" i="2"/>
  <c r="AL4535" i="2"/>
  <c r="AL4497" i="2"/>
  <c r="AL4438" i="2"/>
  <c r="AL4793" i="2"/>
  <c r="AL4725" i="2"/>
  <c r="AL4710" i="2"/>
  <c r="AL4694" i="2"/>
  <c r="AL4693" i="2"/>
  <c r="AL4683" i="2"/>
  <c r="AL4666" i="2"/>
  <c r="AL4652" i="2"/>
  <c r="AL4435" i="2"/>
  <c r="AL4409" i="2"/>
  <c r="AL4354" i="2"/>
  <c r="AL4728" i="2"/>
  <c r="AL4721" i="2"/>
  <c r="AL4626" i="2"/>
  <c r="AL4762" i="2"/>
  <c r="AL4732" i="2"/>
  <c r="AL4701" i="2"/>
  <c r="AL4672" i="2"/>
  <c r="AL4653" i="2"/>
  <c r="AL4641" i="2"/>
  <c r="AL4634" i="2"/>
  <c r="AL4620" i="2"/>
  <c r="AL4600" i="2"/>
  <c r="AL4590" i="2"/>
  <c r="AL4584" i="2"/>
  <c r="AL4536" i="2"/>
  <c r="AL4523" i="2"/>
  <c r="AL4514" i="2"/>
  <c r="AL4492" i="2"/>
  <c r="AL4406" i="2"/>
  <c r="AL4403" i="2"/>
  <c r="AL4420" i="2"/>
  <c r="AL4289" i="2"/>
  <c r="AL4270" i="2"/>
  <c r="AL3989" i="2"/>
  <c r="AL3950" i="2"/>
  <c r="AL3936" i="2"/>
  <c r="AL3883" i="2"/>
  <c r="AL3825" i="2"/>
  <c r="AL3610" i="2"/>
  <c r="AL4347" i="2"/>
  <c r="AL4258" i="2"/>
  <c r="AL4199" i="2"/>
  <c r="AL4190" i="2"/>
  <c r="AL4052" i="2"/>
  <c r="AL4046" i="2"/>
  <c r="AL3925" i="2"/>
  <c r="AL3760" i="2"/>
  <c r="AL3743" i="2"/>
  <c r="AL3740" i="2"/>
  <c r="AL4391" i="2"/>
  <c r="AL4274" i="2"/>
  <c r="AL4271" i="2"/>
  <c r="AL4244" i="2"/>
  <c r="AL4122" i="2"/>
  <c r="AL3579" i="2"/>
  <c r="AL4364" i="2"/>
  <c r="AL4318" i="2"/>
  <c r="AL3712" i="2"/>
  <c r="AL4294" i="2"/>
  <c r="AL4259" i="2"/>
  <c r="AL4097" i="2"/>
  <c r="AL3948" i="2"/>
  <c r="AL3885" i="2"/>
  <c r="AL3832" i="2"/>
  <c r="AL3771" i="2"/>
  <c r="AL3755" i="2"/>
  <c r="AL3721" i="2"/>
  <c r="AL4361" i="2"/>
  <c r="AL4256" i="2"/>
  <c r="AL4195" i="2"/>
  <c r="AL4114" i="2"/>
  <c r="AL3892" i="2"/>
  <c r="AL3856" i="2"/>
  <c r="AL3709" i="2"/>
  <c r="AL4405" i="2"/>
  <c r="AL4397" i="2"/>
  <c r="AL4323" i="2"/>
  <c r="AL4320" i="2"/>
  <c r="AL4306" i="2"/>
  <c r="AL4162" i="2"/>
  <c r="AL4084" i="2"/>
  <c r="AL3955" i="2"/>
  <c r="AL3672" i="2"/>
  <c r="AL3234" i="2"/>
  <c r="AL2968" i="2"/>
  <c r="AL2939" i="2"/>
  <c r="AL2875" i="2"/>
  <c r="AL3415" i="2"/>
  <c r="AL3363" i="2"/>
  <c r="AL3320" i="2"/>
  <c r="AL3285" i="2"/>
  <c r="AL3481" i="2"/>
  <c r="AL3468" i="2"/>
  <c r="AL3464" i="2"/>
  <c r="AL3382" i="2"/>
  <c r="AL3289" i="2"/>
  <c r="AL3515" i="2"/>
  <c r="AL3272" i="2"/>
  <c r="AL3253" i="2"/>
  <c r="AL3158" i="2"/>
  <c r="AL3439" i="2"/>
  <c r="AL3328" i="2"/>
  <c r="AL3316" i="2"/>
  <c r="AL3138" i="2"/>
  <c r="AL3099" i="2"/>
  <c r="AL2530" i="2"/>
  <c r="AL2398" i="2"/>
  <c r="AL2641" i="2"/>
  <c r="AL2605" i="2"/>
  <c r="AL2479" i="2"/>
  <c r="AL2383" i="2"/>
  <c r="AL2767" i="2"/>
  <c r="AL2584" i="2"/>
  <c r="AL2835" i="2"/>
  <c r="AL2608" i="2"/>
  <c r="AL2468" i="2"/>
  <c r="AL2462" i="2"/>
  <c r="AL2406" i="2"/>
  <c r="AL2384" i="2"/>
  <c r="AL2438" i="2"/>
  <c r="AL2366" i="2"/>
  <c r="AL2353" i="2"/>
  <c r="AL2334" i="2"/>
  <c r="AL2295" i="2"/>
  <c r="AL2159" i="2"/>
  <c r="AL2149" i="2"/>
  <c r="AL1883" i="2"/>
  <c r="AL2184" i="2"/>
  <c r="AL2029" i="2"/>
  <c r="AL2264" i="2"/>
  <c r="AL2066" i="2"/>
  <c r="AL2282" i="2"/>
  <c r="AL2004" i="2"/>
  <c r="AL1308" i="2"/>
  <c r="AL1224" i="2"/>
  <c r="AL1093" i="2"/>
  <c r="AL983" i="2"/>
  <c r="AL1343" i="2"/>
  <c r="AL1183" i="2"/>
  <c r="AL1135" i="2"/>
  <c r="AL1633" i="2"/>
  <c r="AL1356" i="2"/>
  <c r="AL1103" i="2"/>
  <c r="AL1818" i="2"/>
  <c r="AL1249" i="2"/>
  <c r="AL1088" i="2"/>
  <c r="AL1001" i="2"/>
  <c r="AL967" i="2"/>
  <c r="AL1649" i="2"/>
  <c r="AL1588" i="2"/>
  <c r="AL1327" i="2"/>
  <c r="AL1275" i="2"/>
  <c r="AL1111" i="2"/>
  <c r="AL998" i="2"/>
  <c r="AL947" i="2"/>
  <c r="AL445" i="2"/>
  <c r="AL292" i="2"/>
  <c r="AL179" i="2"/>
  <c r="AL48" i="2"/>
  <c r="AL5227" i="2"/>
  <c r="AL29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<sst xmlns="http://schemas.openxmlformats.org/spreadsheetml/2006/main" count="691" uniqueCount="189">
  <si>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</si>
  <si>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</si>
  <si>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</si>
  <si>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</si>
  <si>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</si>
  <si>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</si>
  <si>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</si>
  <si>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</si>
  <si>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</si>
  <si>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</si>
  <si>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</si>
  <si>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</si>
  <si>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</si>
  <si>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</si>
  <si>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</si>
  <si>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</si>
  <si>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</si>
  <si>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</si>
  <si>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</si>
  <si>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</si>
  <si>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</si>
  <si>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</si>
  <si>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</si>
  <si>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</si>
  <si>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</si>
  <si>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</si>
  <si>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</si>
  <si>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</si>
  <si>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</si>
  <si>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</si>
  <si>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</si>
  <si>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</si>
  <si>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</si>
  <si>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</si>
  <si>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</si>
  <si>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</si>
  <si>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</si>
  <si>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</si>
  <si>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</si>
  <si>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</si>
  <si>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</si>
  <si>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</si>
  <si>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</si>
  <si>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</si>
  <si>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</si>
  <si>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</si>
  <si>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</si>
  <si>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</si>
  <si>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</si>
  <si>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</si>
  <si>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</si>
  <si>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</si>
  <si>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</si>
  <si>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</si>
  <si>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</si>
  <si>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</si>
  <si>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</si>
  <si>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</si>
  <si>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</si>
  <si>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</si>
  <si>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</si>
  <si>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</si>
  <si>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</si>
  <si>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</si>
  <si>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</si>
  <si>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</si>
  <si>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</si>
  <si>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</si>
  <si>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</si>
  <si>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</si>
  <si>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</si>
  <si>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</si>
  <si>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</si>
  <si>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</si>
  <si>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</si>
  <si>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</si>
  <si>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</si>
  <si>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</si>
  <si>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</si>
  <si>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</si>
  <si>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</si>
  <si>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</si>
  <si>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</si>
  <si>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</si>
  <si>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</si>
  <si>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</si>
  <si>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</si>
  <si>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</si>
  <si>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</si>
  <si>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</si>
  <si>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</si>
  <si>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</si>
  <si>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</si>
  <si>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</si>
  <si>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</si>
  <si>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</si>
  <si>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</si>
  <si>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</si>
  <si>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</si>
  <si>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</si>
  <si>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</si>
  <si>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Tributary to Morice River</t>
  </si>
  <si>
    <t>Gold Creek FSR</t>
  </si>
  <si>
    <t>Medium</t>
  </si>
  <si>
    <t>Holland Rd</t>
  </si>
  <si>
    <t>AI</t>
  </si>
  <si>
    <t>Wrinch Creek</t>
  </si>
  <si>
    <t>Morice-Owen FSR</t>
  </si>
  <si>
    <t>Emil Creek</t>
  </si>
  <si>
    <t>Gold FSR</t>
  </si>
  <si>
    <t>Low</t>
  </si>
  <si>
    <t>Other</t>
  </si>
  <si>
    <t>Tributary to Zymoetz River</t>
  </si>
  <si>
    <t>Dennis West FSR</t>
  </si>
  <si>
    <t>Denis West FSR</t>
  </si>
  <si>
    <t>Open Bottom Structure</t>
  </si>
  <si>
    <t>Wood Box Culvert</t>
  </si>
  <si>
    <t>Chicago Creek</t>
  </si>
  <si>
    <t>Moti</t>
  </si>
  <si>
    <t>Gershwin Creek</t>
  </si>
  <si>
    <t>Braucher Rd</t>
  </si>
  <si>
    <t>Tributary to Skeena River</t>
  </si>
  <si>
    <t>Aldous St</t>
  </si>
  <si>
    <t>Comeau Creek</t>
  </si>
  <si>
    <t>Shandilla Creek</t>
  </si>
  <si>
    <t>Highway 16</t>
  </si>
  <si>
    <t>MOTI</t>
  </si>
  <si>
    <t>Oval Culvert</t>
  </si>
  <si>
    <t>Tributary to Chicago Creek</t>
  </si>
  <si>
    <t>Tributary to Gershwin Creek</t>
  </si>
  <si>
    <t>Andimaul Creek</t>
  </si>
  <si>
    <t>Railway</t>
  </si>
  <si>
    <t xml:space="preserve">Canadian National </t>
  </si>
  <si>
    <t>Concrete Box</t>
  </si>
  <si>
    <t xml:space="preserve">Tributary to Skeena River </t>
  </si>
  <si>
    <t>Bedrock</t>
  </si>
  <si>
    <t>Singlehurst Creek</t>
  </si>
  <si>
    <t>Singlehurst Road</t>
  </si>
  <si>
    <t>Noble Five Creek</t>
  </si>
  <si>
    <t>Fall Creek</t>
  </si>
  <si>
    <t>Flint Creek</t>
  </si>
  <si>
    <t>Shallow Fill</t>
  </si>
  <si>
    <t>Tributary to Tagit Creek</t>
  </si>
  <si>
    <t>9946-27 Rd</t>
  </si>
  <si>
    <t>Very good habitat upstream and downstream. Culvert is a little bent in the middle. Big outlet drop, fish spotted in outlet pool. Moderate flowing stream.</t>
  </si>
  <si>
    <t>Culvert very warped on inlet side. Deep outlet pool indicating culvert is undersized. Fry spotted in outlet pool. Wide channel with good flow and habitat value.</t>
  </si>
  <si>
    <t>Stream is mostly dewatered, not flowing. Some water in pools. Small amount of water in culvert but no flow. Outlet pool present. Habitat looks good at higher flows.</t>
  </si>
  <si>
    <t>Erosion present on road near outlet. Old, rusted culvert. Fry spotted near inlet. Debris jam blocking most of inlet. Good habitat on both sides. Not a very high traffic road. Might need restoration if road erodes further. Culvert is a little undersized.</t>
  </si>
  <si>
    <t>Deep outlet pool, culvert may be undersized. Relatively wide stream with good habitat.</t>
  </si>
  <si>
    <t xml:space="preserve">Good flow for area and this time of year. Small channel through wetland type area downstream. Inlet of pipe is damaged with part of the pipe lodged inside.   Substrate upstream appears to be composed of fines           only.             </t>
  </si>
  <si>
    <t>Stream dewatered. Wide channel with embedded culvert. Culvert filled with substrate almost all the way to top. Looks like high habitat quality when stream is flowing. Culvert close to road, lower fill depth on inlet side.</t>
  </si>
  <si>
    <t xml:space="preserve">Really good flow for the area on this very dry year. Numerous small fish observed upstream of the culvert. Cattle accessing the stream from the road upstream. Large outlet drop.          </t>
  </si>
  <si>
    <t>Dewatered tributary. Very overgrown and small stream channel. Culvert is bent downwards near the middle.</t>
  </si>
  <si>
    <t xml:space="preserve">Ford. With this point of historic sockeye spawning just upstream. Fry observed. Abundant gravel throughout.          </t>
  </si>
  <si>
    <t xml:space="preserve">Dewatered stream, small channel and overgrown. Very big outlet drop. </t>
  </si>
  <si>
    <t xml:space="preserve">Wood box culvert. Huge timbers.          </t>
  </si>
  <si>
    <t xml:space="preserve">Grassy wetland habitat upstream and small channel. Steep system. Stream bed substrate is mostly mud, not ideal fish habitat. </t>
  </si>
  <si>
    <t xml:space="preserve">Nice stream with good flow and abundant gravel. Pipe is very under sized and appears to have been trudged at the upstream end to clear it. Fish observed an outlet pool.           </t>
  </si>
  <si>
    <t>Small rapids near inlet creating small drop. Appears to be high stream velocity in culvert, installing baffles could be an option. Wide stream with high flow, gravels present upstream.</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</si>
  <si>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t>
  </si>
  <si>
    <t>Good flowing stream, fry spotted in culvert and upstream. No outlet drop or pool. Some gravels downstream, only sand/fines upstream of culvert. Flows through residential area. Channel is wider upstream than downstream.</t>
  </si>
  <si>
    <t>Dewatered stream, very small channel upstream, overgrown and poorly defined. Outlet could not be found. No visible channel downstream.</t>
  </si>
  <si>
    <t xml:space="preserve">Very large stream with massive outlet drop on the pipe. Slight gradient change within the pipe for the last one and a half metres before the outlet as it is a bit steeper. Skeena river is immediately downstream of the outlet.  Pink salmon, spawning location noted in upstream of the site.                  </t>
  </si>
  <si>
    <t>Very long culvert. Small road/trail between highway and outlet, culvert runs underneath both. Upstream side is in fenced off agricultural field, could not access. Lots of fines/sands in stream bed. Some gravels and cobbles. Good flow in culvert, does not appear to be a fish passage issue.</t>
  </si>
  <si>
    <t>Relatively wide channel with high flow. Wetland habitat upstream. Beaver grate at inlet, 0.25m wide between vertical metal rods so still passable to all fish. Some stream substrate and cobbles present in culvert.</t>
  </si>
  <si>
    <t>Adult fish spotted in outlet pool (approx. 40cm long). Good spawning gravels just downstream of outlet pool. Wide channel.</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</si>
  <si>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t>
  </si>
  <si>
    <t xml:space="preserve">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t>
  </si>
  <si>
    <t xml:space="preserve">Very high value habitat upstream with pockets of gravel throughout. Adult CT or RB observed just downstream of Highway 16. Crossing upstream of here. Structure is dated 1923. Water flows within the box. Culvert at the time of the survey were approximately two through 5 cm deep Skeena fisheries commission site with recommendation for installation of baffles.          </t>
  </si>
  <si>
    <t xml:space="preserve">Try at the time of survey. Well defined channel. Connects to a side channel of the skinny river.         </t>
  </si>
  <si>
    <t>Big outlet drop and relatively deep pool. Big, wide culvert, some stream substrate in pipe but only on one side. Wide channel, high flow and steep system. Very low fill depth. Small fry seen in pipe.</t>
  </si>
  <si>
    <t xml:space="preserve">High value, Spany habitat upstream. One rad observed upstream. DFO and MOTI historic back watering and side channel sites. Approximately 30 pink salmon spawners and 10 steelhead spawners immediately downstream of the last wooden structure downstream of the pipe.          </t>
  </si>
  <si>
    <t xml:space="preserve">Abundant gravels present upstream. Very wide channel with good flow. Minimal outlet drop but deep pool. </t>
  </si>
  <si>
    <t>High fill depth and massive outlet drop. Pipe is bent sideways in the middle, can barely see the other side from inlet. Moderate flow in stream.</t>
  </si>
  <si>
    <t xml:space="preserve">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t>
  </si>
  <si>
    <t>Massive pipe, wide stream with high flow. Baffles in pipe reducing stream velocity and allows fish to rest. Rainbow confirmed upstream and downstream.</t>
  </si>
  <si>
    <t>Big outlet drop to Skeena River channel. Could be accessible during high-water in river. Small channel upstream. Stream is flowing. Chinook sampled upstream in the past.</t>
  </si>
  <si>
    <t xml:space="preserve">Beaver dam, approximately 1.4 m high located 5 m upstream of the inlet fever influence wetland upstream however, stream was dry at time of survey downstream of the Beaverdam. Skeena River is immediately downstream of the outlet with the high water level, approximately 2 m below pipe outlet. Culvert isnâ€™t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t>
  </si>
  <si>
    <t xml:space="preserve">Dewatered, no defined stream channel found. Outlet barely visible. </t>
  </si>
  <si>
    <t xml:space="preserve"> Major debris accumulation downstream of the culvert. Stream is dewatered down 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t>
  </si>
  <si>
    <t xml:space="preserve">Small drainage with beaverdam -  1 m high,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t>
  </si>
  <si>
    <t xml:space="preserve">Most of the inlet is blocked with accumulating fines upstream. Pipe is in very poor condition and starting to rust right through on the downstream end. Dolly Varden, and rainbow known upstream in FISS. Lots of beaver activity at the outlet. Small stream with mostly find substrate immediately upstream and downstream of the highway.   </t>
  </si>
  <si>
    <t xml:space="preserve">High distance from outlet of pipe to skeena wetted channel. Only accessible at high water. Big, wide wetland area just upstream of highway. Large woody debris blocking most of inlet. No water flowing through pipe. Some stagnant water upstream. </t>
  </si>
  <si>
    <t xml:space="preserve">Historic rainbow point upstream of the highway. Small stream dewaters (perhaps temporarily) 40 m of stream of the crossing. Pipe is in very bad condition and has bent from 13 distance to all the way to the outlet. Significant amounts of water are leaking out of the bottom of the pipe and eroding the road prism at the outlet. Large outlet drop.          </t>
  </si>
  <si>
    <t>Massive outlet pool. Drains into skeena river side channel. High flow and steep gradient upstream. Only passable upstream to adult salmon. Crossing a definite barrier to all fish.</t>
  </si>
  <si>
    <t xml:space="preserve">Stream is completely blown out at this location due to a major debris event. All water is sub surface.          </t>
  </si>
  <si>
    <t>Wetland habitat upstream and immediately downstream. Defined stream channel approx 10m downstream of crossing. Small channel with low flow. Old culvert, deep outlet pool. Beaver dam at inlet creating small drop.</t>
  </si>
  <si>
    <t>Tributary to McDonell Lake</t>
  </si>
  <si>
    <t>Cedarvale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</si>
</sst>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2" fontId="0" fillId="0" borderId="0" xfId="0" applyNumberFormat="1" applyFill="1" applyAlignment="1" applyProtection="1">
      <alignment horizontal="right"/>
      <protection locked="0"/>
    </xf>
    <xf numFmtId="2" fontId="0" fillId="0" borderId="0" xfId="0" applyNumberFormat="1" applyFill="1" applyAlignment="1" applyProtection="1">
      <alignment horizontal="right" wrapText="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0"/>
    </row>
    <row r="8" spans="1:20" x14ac:dyDescent="0.25">
      <c r="A8" s="4" t="s">
        <v>73</v>
      </c>
    </row>
    <row r="9" spans="1:20" x14ac:dyDescent="0.25">
      <c r="A9" s="4" t="s">
        <v>74</v>
      </c>
    </row>
    <row r="10" spans="1:20" x14ac:dyDescent="0.25">
      <c r="A10" s="4" t="s">
        <v>75</v>
      </c>
      <c r="B10" s="81"/>
    </row>
    <row r="11" spans="1:20" x14ac:dyDescent="0.25">
      <c r="A11" s="4"/>
      <c r="B11" s="10"/>
    </row>
    <row r="12" spans="1:20" x14ac:dyDescent="0.25">
      <c r="A12" s="4" t="s">
        <v>36</v>
      </c>
      <c r="B12" s="80"/>
    </row>
    <row r="13" spans="1:20" x14ac:dyDescent="0.25">
      <c r="A13" s="4" t="s">
        <v>37</v>
      </c>
    </row>
    <row r="14" spans="1:20" x14ac:dyDescent="0.25">
      <c r="A14" s="4" t="s">
        <v>38</v>
      </c>
    </row>
    <row r="15" spans="1:20" x14ac:dyDescent="0.25">
      <c r="A15" s="4" t="s">
        <v>39</v>
      </c>
      <c r="B15" s="81"/>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Z1" zoomScale="85" zoomScaleNormal="85" workbookViewId="0">
      <pane ySplit="4" topLeftCell="A5" activePane="bottomLeft" state="frozen"/>
      <selection pane="bottomLeft" activeCell="AN47" sqref="AN4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83">
        <v>45181</v>
      </c>
      <c r="C5" s="82">
        <v>14000571</v>
      </c>
      <c r="D5" s="82" t="s">
        <v>92</v>
      </c>
      <c r="E5" s="84">
        <v>9</v>
      </c>
      <c r="F5" s="85">
        <v>631702.68200744002</v>
      </c>
      <c r="G5" s="85">
        <v>6017418.0057513202</v>
      </c>
      <c r="H5" s="84" t="s">
        <v>93</v>
      </c>
      <c r="I5" s="84" t="s">
        <v>94</v>
      </c>
      <c r="J5" s="33"/>
      <c r="K5" s="84"/>
      <c r="L5" s="82" t="s">
        <v>95</v>
      </c>
      <c r="M5" s="82" t="s">
        <v>96</v>
      </c>
      <c r="N5" s="86">
        <v>1.6</v>
      </c>
      <c r="O5" s="86">
        <v>18</v>
      </c>
      <c r="P5" s="82" t="s">
        <v>97</v>
      </c>
      <c r="Q5" s="93"/>
      <c r="R5" s="82" t="s">
        <v>97</v>
      </c>
      <c r="S5" s="82" t="s">
        <v>97</v>
      </c>
      <c r="T5" s="93"/>
      <c r="U5" s="82">
        <v>8</v>
      </c>
      <c r="V5" s="82">
        <v>0.7</v>
      </c>
      <c r="W5" s="82">
        <v>0.5</v>
      </c>
      <c r="X5" s="82" t="s">
        <v>97</v>
      </c>
      <c r="Y5" s="82">
        <v>4</v>
      </c>
      <c r="Z5" s="82">
        <v>2.8</v>
      </c>
      <c r="AA5" s="82">
        <v>3</v>
      </c>
      <c r="AB5" s="82" t="s">
        <v>97</v>
      </c>
      <c r="AC5" s="82" t="s">
        <v>98</v>
      </c>
      <c r="AD5" s="82" t="s">
        <v>99</v>
      </c>
      <c r="AE5" s="82"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2"/>
      <c r="AO5" s="82"/>
      <c r="AP5" s="89" t="s">
        <v>144</v>
      </c>
    </row>
    <row r="6" spans="1:42" x14ac:dyDescent="0.25">
      <c r="A6" s="83">
        <v>45181</v>
      </c>
      <c r="C6" s="82">
        <v>14000575</v>
      </c>
      <c r="D6" s="82" t="s">
        <v>92</v>
      </c>
      <c r="E6" s="84">
        <v>9</v>
      </c>
      <c r="F6" s="85">
        <v>636436.24520689005</v>
      </c>
      <c r="G6" s="85">
        <v>6020756.2384916199</v>
      </c>
      <c r="H6" s="82" t="s">
        <v>101</v>
      </c>
      <c r="I6" s="84" t="s">
        <v>102</v>
      </c>
      <c r="J6" s="33"/>
      <c r="K6" s="82"/>
      <c r="L6" s="82" t="s">
        <v>95</v>
      </c>
      <c r="M6" s="82" t="s">
        <v>96</v>
      </c>
      <c r="N6" s="86">
        <v>1.2</v>
      </c>
      <c r="O6" s="86">
        <v>16</v>
      </c>
      <c r="P6" s="82" t="s">
        <v>97</v>
      </c>
      <c r="Q6" s="93"/>
      <c r="R6" s="82" t="s">
        <v>97</v>
      </c>
      <c r="S6" s="82" t="s">
        <v>97</v>
      </c>
      <c r="T6" s="93"/>
      <c r="U6" s="82">
        <v>1.5</v>
      </c>
      <c r="V6" s="82">
        <v>0.2</v>
      </c>
      <c r="W6" s="82">
        <v>0.9</v>
      </c>
      <c r="X6" s="82" t="s">
        <v>97</v>
      </c>
      <c r="Y6" s="82">
        <v>0</v>
      </c>
      <c r="Z6" s="82">
        <v>2.2000000000000002</v>
      </c>
      <c r="AA6" s="82">
        <v>2.5</v>
      </c>
      <c r="AB6" s="82" t="s">
        <v>97</v>
      </c>
      <c r="AC6" s="82" t="s">
        <v>98</v>
      </c>
      <c r="AD6" s="82" t="s">
        <v>99</v>
      </c>
      <c r="AE6" s="82" t="s">
        <v>100</v>
      </c>
      <c r="AF6" s="20">
        <f t="shared" ref="AF6:AF11" si="0">IF(ISBLANK(Z6), 0, IF(ISBLANK(N6) &lt; 0, 0,Z6 / N6))</f>
        <v>1.8333333333333335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0</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82"/>
      <c r="AO6" s="82"/>
      <c r="AP6" s="89" t="s">
        <v>145</v>
      </c>
    </row>
    <row r="7" spans="1:42" x14ac:dyDescent="0.25">
      <c r="A7" s="83">
        <v>45181</v>
      </c>
      <c r="C7" s="82">
        <v>14000638</v>
      </c>
      <c r="D7" s="82" t="s">
        <v>92</v>
      </c>
      <c r="E7" s="84">
        <v>9</v>
      </c>
      <c r="F7" s="85">
        <v>637530.94138905196</v>
      </c>
      <c r="G7" s="85">
        <v>6021807.8867334696</v>
      </c>
      <c r="H7" s="82" t="s">
        <v>101</v>
      </c>
      <c r="I7" s="84" t="s">
        <v>102</v>
      </c>
      <c r="J7" s="33"/>
      <c r="K7" s="82"/>
      <c r="L7" s="82" t="s">
        <v>95</v>
      </c>
      <c r="M7" s="82" t="s">
        <v>96</v>
      </c>
      <c r="N7" s="87">
        <v>1.2</v>
      </c>
      <c r="O7" s="87">
        <v>24</v>
      </c>
      <c r="P7" s="82" t="s">
        <v>97</v>
      </c>
      <c r="Q7" s="93"/>
      <c r="R7" s="82" t="s">
        <v>97</v>
      </c>
      <c r="S7" s="82" t="s">
        <v>97</v>
      </c>
      <c r="T7" s="93"/>
      <c r="U7" s="82">
        <v>4</v>
      </c>
      <c r="V7" s="82">
        <v>0</v>
      </c>
      <c r="W7" s="82">
        <v>0.4</v>
      </c>
      <c r="X7" s="82" t="s">
        <v>97</v>
      </c>
      <c r="Y7" s="82">
        <v>5</v>
      </c>
      <c r="Z7" s="82">
        <v>1.7</v>
      </c>
      <c r="AA7" s="82">
        <v>4</v>
      </c>
      <c r="AB7" s="82" t="s">
        <v>97</v>
      </c>
      <c r="AC7" s="82" t="s">
        <v>97</v>
      </c>
      <c r="AD7" s="82" t="s">
        <v>99</v>
      </c>
      <c r="AE7" s="82" t="s">
        <v>103</v>
      </c>
      <c r="AF7" s="20">
        <f t="shared" si="0"/>
        <v>1.4166666666666667</v>
      </c>
      <c r="AG7" s="13">
        <f t="shared" si="1"/>
        <v>3</v>
      </c>
      <c r="AH7" s="7">
        <f t="shared" si="2"/>
        <v>10</v>
      </c>
      <c r="AI7" s="7">
        <f t="shared" si="3"/>
        <v>0</v>
      </c>
      <c r="AJ7" s="7">
        <f t="shared" si="4"/>
        <v>10</v>
      </c>
      <c r="AK7" s="7">
        <f t="shared" si="5"/>
        <v>6</v>
      </c>
      <c r="AL7" s="12">
        <f t="shared" si="6"/>
        <v>29</v>
      </c>
      <c r="AM7" s="14" t="str">
        <f t="shared" si="7"/>
        <v>Barrier</v>
      </c>
      <c r="AN7" s="82"/>
      <c r="AO7" s="82"/>
      <c r="AP7" s="82" t="s">
        <v>146</v>
      </c>
    </row>
    <row r="8" spans="1:42" x14ac:dyDescent="0.25">
      <c r="A8" s="83">
        <v>45181</v>
      </c>
      <c r="B8" s="79"/>
      <c r="C8" s="82">
        <v>14000855</v>
      </c>
      <c r="D8" s="82" t="s">
        <v>92</v>
      </c>
      <c r="E8" s="84">
        <v>9</v>
      </c>
      <c r="F8" s="85">
        <v>636690.84319358703</v>
      </c>
      <c r="G8" s="85">
        <v>6020942.7343819896</v>
      </c>
      <c r="H8" s="82" t="s">
        <v>101</v>
      </c>
      <c r="I8" s="84" t="s">
        <v>94</v>
      </c>
      <c r="J8" s="78"/>
      <c r="K8" s="88"/>
      <c r="L8" s="82" t="s">
        <v>95</v>
      </c>
      <c r="M8" s="82" t="s">
        <v>96</v>
      </c>
      <c r="N8" s="87">
        <v>0.9</v>
      </c>
      <c r="O8" s="87">
        <v>18</v>
      </c>
      <c r="P8" s="82" t="s">
        <v>97</v>
      </c>
      <c r="Q8" s="93"/>
      <c r="R8" s="82" t="s">
        <v>97</v>
      </c>
      <c r="S8" s="82" t="s">
        <v>97</v>
      </c>
      <c r="T8" s="93"/>
      <c r="U8" s="82">
        <v>1</v>
      </c>
      <c r="V8" s="82">
        <v>0</v>
      </c>
      <c r="W8" s="82">
        <v>1.2</v>
      </c>
      <c r="X8" s="82" t="s">
        <v>97</v>
      </c>
      <c r="Y8" s="82">
        <v>1</v>
      </c>
      <c r="Z8" s="82">
        <v>1.9</v>
      </c>
      <c r="AA8" s="82">
        <v>3</v>
      </c>
      <c r="AB8" s="82" t="s">
        <v>98</v>
      </c>
      <c r="AC8" s="82" t="s">
        <v>98</v>
      </c>
      <c r="AD8" s="82" t="s">
        <v>99</v>
      </c>
      <c r="AE8" s="82" t="s">
        <v>100</v>
      </c>
      <c r="AF8" s="20">
        <f t="shared" si="0"/>
        <v>2.1111111111111112</v>
      </c>
      <c r="AG8" s="13">
        <f t="shared" si="1"/>
        <v>3</v>
      </c>
      <c r="AH8" s="7">
        <f t="shared" si="2"/>
        <v>10</v>
      </c>
      <c r="AI8" s="7">
        <f t="shared" si="3"/>
        <v>0</v>
      </c>
      <c r="AJ8" s="7">
        <f t="shared" si="4"/>
        <v>5</v>
      </c>
      <c r="AK8" s="7">
        <f t="shared" si="5"/>
        <v>6</v>
      </c>
      <c r="AL8" s="12">
        <f t="shared" si="6"/>
        <v>24</v>
      </c>
      <c r="AM8" s="14" t="str">
        <f t="shared" si="7"/>
        <v>Barrier</v>
      </c>
      <c r="AN8" s="82"/>
      <c r="AO8" s="82"/>
      <c r="AP8" s="82" t="s">
        <v>147</v>
      </c>
    </row>
    <row r="9" spans="1:42" x14ac:dyDescent="0.25">
      <c r="A9" s="83">
        <v>45181</v>
      </c>
      <c r="C9" s="82">
        <v>14001106</v>
      </c>
      <c r="D9" s="82" t="s">
        <v>92</v>
      </c>
      <c r="E9" s="84">
        <v>9</v>
      </c>
      <c r="F9" s="85">
        <v>631502.10091242404</v>
      </c>
      <c r="G9" s="85">
        <v>6018104.2108108504</v>
      </c>
      <c r="H9" s="89" t="s">
        <v>93</v>
      </c>
      <c r="I9" s="84" t="s">
        <v>104</v>
      </c>
      <c r="J9" s="33"/>
      <c r="K9" s="88"/>
      <c r="L9" s="82" t="s">
        <v>95</v>
      </c>
      <c r="M9" s="82" t="s">
        <v>96</v>
      </c>
      <c r="N9" s="87">
        <v>1.2</v>
      </c>
      <c r="O9" s="87">
        <v>14</v>
      </c>
      <c r="P9" s="82" t="s">
        <v>97</v>
      </c>
      <c r="Q9" s="93"/>
      <c r="R9" s="82" t="s">
        <v>97</v>
      </c>
      <c r="S9" s="82" t="s">
        <v>97</v>
      </c>
      <c r="T9" s="93"/>
      <c r="U9" s="82">
        <v>0.7</v>
      </c>
      <c r="V9" s="82">
        <v>0.1</v>
      </c>
      <c r="W9" s="82">
        <v>0.7</v>
      </c>
      <c r="X9" s="82" t="s">
        <v>97</v>
      </c>
      <c r="Y9" s="82">
        <v>1</v>
      </c>
      <c r="Z9" s="82">
        <v>1.9</v>
      </c>
      <c r="AA9" s="82">
        <v>2</v>
      </c>
      <c r="AB9" s="82" t="s">
        <v>97</v>
      </c>
      <c r="AC9" s="82" t="s">
        <v>97</v>
      </c>
      <c r="AD9" s="82" t="s">
        <v>99</v>
      </c>
      <c r="AE9" s="82" t="s">
        <v>100</v>
      </c>
      <c r="AF9" s="20">
        <f t="shared" si="0"/>
        <v>1.5833333333333333</v>
      </c>
      <c r="AG9" s="13">
        <f t="shared" si="1"/>
        <v>0</v>
      </c>
      <c r="AH9" s="7">
        <f t="shared" si="2"/>
        <v>10</v>
      </c>
      <c r="AI9" s="7">
        <f t="shared" si="3"/>
        <v>0</v>
      </c>
      <c r="AJ9" s="7">
        <f t="shared" si="4"/>
        <v>5</v>
      </c>
      <c r="AK9" s="7">
        <f t="shared" si="5"/>
        <v>6</v>
      </c>
      <c r="AL9" s="12">
        <f t="shared" si="6"/>
        <v>21</v>
      </c>
      <c r="AM9" s="14" t="str">
        <f t="shared" si="7"/>
        <v>Barrier</v>
      </c>
      <c r="AN9" s="82"/>
      <c r="AO9" s="82"/>
      <c r="AP9" s="82" t="s">
        <v>148</v>
      </c>
    </row>
    <row r="10" spans="1:42" x14ac:dyDescent="0.25">
      <c r="A10" s="83">
        <v>45182</v>
      </c>
      <c r="C10" s="82">
        <v>14000707</v>
      </c>
      <c r="D10" s="82" t="s">
        <v>105</v>
      </c>
      <c r="E10" s="84">
        <v>9</v>
      </c>
      <c r="F10" s="85">
        <v>648055.28630691394</v>
      </c>
      <c r="G10" s="85">
        <v>5994864.6038424699</v>
      </c>
      <c r="H10" s="89" t="s">
        <v>106</v>
      </c>
      <c r="I10" s="84" t="s">
        <v>107</v>
      </c>
      <c r="J10" s="33"/>
      <c r="K10" s="82"/>
      <c r="L10" s="82" t="s">
        <v>95</v>
      </c>
      <c r="M10" s="82" t="s">
        <v>96</v>
      </c>
      <c r="N10" s="87">
        <v>0.75</v>
      </c>
      <c r="O10" s="87">
        <v>26</v>
      </c>
      <c r="P10" s="82" t="s">
        <v>97</v>
      </c>
      <c r="Q10" s="94"/>
      <c r="R10" s="82" t="s">
        <v>97</v>
      </c>
      <c r="S10" s="82" t="s">
        <v>97</v>
      </c>
      <c r="T10" s="94"/>
      <c r="U10" s="87">
        <v>1.5</v>
      </c>
      <c r="V10" s="82">
        <v>0.3</v>
      </c>
      <c r="W10" s="87">
        <v>0.75</v>
      </c>
      <c r="X10" s="82" t="s">
        <v>97</v>
      </c>
      <c r="Y10" s="87">
        <v>2</v>
      </c>
      <c r="Z10" s="87">
        <v>1.5</v>
      </c>
      <c r="AA10" s="82">
        <v>2</v>
      </c>
      <c r="AB10" s="82" t="s">
        <v>97</v>
      </c>
      <c r="AC10" s="82" t="s">
        <v>97</v>
      </c>
      <c r="AD10" s="82" t="s">
        <v>99</v>
      </c>
      <c r="AE10" s="82" t="s">
        <v>103</v>
      </c>
      <c r="AF10" s="20">
        <f t="shared" si="0"/>
        <v>2</v>
      </c>
      <c r="AG10" s="13">
        <f t="shared" si="1"/>
        <v>3</v>
      </c>
      <c r="AH10" s="7">
        <f t="shared" si="2"/>
        <v>10</v>
      </c>
      <c r="AI10" s="7">
        <f t="shared" si="3"/>
        <v>10</v>
      </c>
      <c r="AJ10" s="7">
        <f t="shared" si="4"/>
        <v>5</v>
      </c>
      <c r="AK10" s="7">
        <f t="shared" si="5"/>
        <v>6</v>
      </c>
      <c r="AL10" s="12">
        <f t="shared" si="6"/>
        <v>34</v>
      </c>
      <c r="AM10" s="14" t="str">
        <f t="shared" si="7"/>
        <v>Barrier</v>
      </c>
      <c r="AN10" s="82"/>
      <c r="AO10" s="87"/>
      <c r="AP10" s="82" t="s">
        <v>149</v>
      </c>
    </row>
    <row r="11" spans="1:42" x14ac:dyDescent="0.25">
      <c r="A11" s="83">
        <v>45182</v>
      </c>
      <c r="C11" s="89">
        <v>14000708</v>
      </c>
      <c r="D11" s="82" t="s">
        <v>92</v>
      </c>
      <c r="E11" s="82">
        <v>9</v>
      </c>
      <c r="F11" s="90">
        <v>647361.77971393999</v>
      </c>
      <c r="G11" s="90">
        <v>5997427.3008342497</v>
      </c>
      <c r="H11" s="89" t="s">
        <v>108</v>
      </c>
      <c r="I11" s="84" t="s">
        <v>107</v>
      </c>
      <c r="J11" s="91">
        <v>41.1</v>
      </c>
      <c r="K11" s="82"/>
      <c r="L11" s="82" t="s">
        <v>95</v>
      </c>
      <c r="M11" s="82" t="s">
        <v>96</v>
      </c>
      <c r="N11" s="87">
        <v>1.3</v>
      </c>
      <c r="O11" s="87">
        <v>15</v>
      </c>
      <c r="P11" s="82" t="s">
        <v>98</v>
      </c>
      <c r="Q11" s="87">
        <v>0.1</v>
      </c>
      <c r="R11" s="82" t="s">
        <v>98</v>
      </c>
      <c r="S11" s="82" t="s">
        <v>97</v>
      </c>
      <c r="T11" s="94"/>
      <c r="U11" s="87">
        <v>1</v>
      </c>
      <c r="V11" s="82">
        <v>0</v>
      </c>
      <c r="W11" s="87">
        <v>0</v>
      </c>
      <c r="X11" s="82" t="s">
        <v>97</v>
      </c>
      <c r="Y11" s="87">
        <v>2</v>
      </c>
      <c r="Z11" s="87">
        <v>2.5</v>
      </c>
      <c r="AA11" s="82">
        <v>4</v>
      </c>
      <c r="AB11" s="82" t="s">
        <v>97</v>
      </c>
      <c r="AC11" s="82" t="s">
        <v>97</v>
      </c>
      <c r="AD11" s="82" t="s">
        <v>99</v>
      </c>
      <c r="AE11" s="82" t="s">
        <v>100</v>
      </c>
      <c r="AF11" s="20">
        <f t="shared" si="0"/>
        <v>1.9230769230769229</v>
      </c>
      <c r="AG11" s="13">
        <f t="shared" si="1"/>
        <v>3</v>
      </c>
      <c r="AH11" s="7">
        <f t="shared" si="2"/>
        <v>5</v>
      </c>
      <c r="AI11" s="7">
        <f t="shared" si="3"/>
        <v>0</v>
      </c>
      <c r="AJ11" s="7">
        <f>IF(Y11&lt;1,0,IF(AND(Y11&gt;=1,Y11&lt;3),5,IF(Y11&gt;=3,10,0)))</f>
        <v>5</v>
      </c>
      <c r="AK11" s="7">
        <f t="shared" si="5"/>
        <v>6</v>
      </c>
      <c r="AL11" s="12">
        <f t="shared" si="6"/>
        <v>19</v>
      </c>
      <c r="AM11" s="14" t="str">
        <f t="shared" si="7"/>
        <v>Potential</v>
      </c>
      <c r="AN11" s="82"/>
      <c r="AO11" s="82"/>
      <c r="AP11" s="82" t="s">
        <v>150</v>
      </c>
    </row>
    <row r="12" spans="1:42" ht="30" x14ac:dyDescent="0.25">
      <c r="A12" s="83">
        <v>45185</v>
      </c>
      <c r="C12" s="82">
        <v>14000637</v>
      </c>
      <c r="D12" s="82" t="s">
        <v>105</v>
      </c>
      <c r="E12" s="84">
        <v>9</v>
      </c>
      <c r="F12" s="85">
        <v>640014.01527308801</v>
      </c>
      <c r="G12" s="85">
        <v>6023911.1069866503</v>
      </c>
      <c r="H12" s="84" t="s">
        <v>101</v>
      </c>
      <c r="I12" s="84" t="s">
        <v>109</v>
      </c>
      <c r="J12" s="33"/>
      <c r="K12" s="84"/>
      <c r="L12" s="82" t="s">
        <v>95</v>
      </c>
      <c r="M12" s="82" t="s">
        <v>96</v>
      </c>
      <c r="N12" s="87">
        <v>0.9</v>
      </c>
      <c r="O12" s="87">
        <v>24</v>
      </c>
      <c r="P12" s="82" t="s">
        <v>97</v>
      </c>
      <c r="Q12" s="93"/>
      <c r="R12" s="82" t="s">
        <v>97</v>
      </c>
      <c r="S12" s="82" t="s">
        <v>97</v>
      </c>
      <c r="T12" s="94"/>
      <c r="U12" s="87">
        <v>5</v>
      </c>
      <c r="V12" s="82">
        <v>0.75</v>
      </c>
      <c r="W12" s="87">
        <v>0.15</v>
      </c>
      <c r="X12" s="82" t="s">
        <v>97</v>
      </c>
      <c r="Y12" s="87">
        <v>2</v>
      </c>
      <c r="Z12" s="87">
        <v>2</v>
      </c>
      <c r="AA12" s="82">
        <v>1.5</v>
      </c>
      <c r="AB12" s="82" t="s">
        <v>97</v>
      </c>
      <c r="AC12" s="82" t="s">
        <v>98</v>
      </c>
      <c r="AD12" s="82" t="s">
        <v>99</v>
      </c>
      <c r="AE12" s="82" t="s">
        <v>103</v>
      </c>
      <c r="AF12" s="20">
        <f t="shared" ref="AF12:AF72" si="8">IF(ISBLANK(Z12), 0, IF(ISBLANK(N12) &lt; 0, 0,Z12 / N12))</f>
        <v>2.2222222222222223</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2"/>
      <c r="AO12" s="87"/>
      <c r="AP12" s="82" t="s">
        <v>151</v>
      </c>
    </row>
    <row r="13" spans="1:42" ht="45" x14ac:dyDescent="0.25">
      <c r="A13" s="83">
        <v>45185</v>
      </c>
      <c r="C13" s="82">
        <v>14001105</v>
      </c>
      <c r="D13" s="82" t="s">
        <v>92</v>
      </c>
      <c r="E13" s="84">
        <v>9</v>
      </c>
      <c r="F13" s="85">
        <v>631177.90796783101</v>
      </c>
      <c r="G13" s="85">
        <v>6018352.3805983802</v>
      </c>
      <c r="H13" s="84" t="s">
        <v>93</v>
      </c>
      <c r="I13" s="84" t="s">
        <v>104</v>
      </c>
      <c r="K13" s="84"/>
      <c r="L13" s="82" t="s">
        <v>95</v>
      </c>
      <c r="M13" s="82" t="s">
        <v>96</v>
      </c>
      <c r="N13" s="87">
        <v>1</v>
      </c>
      <c r="O13" s="87">
        <v>10</v>
      </c>
      <c r="P13" s="82" t="s">
        <v>97</v>
      </c>
      <c r="Q13" s="93"/>
      <c r="R13" s="82" t="s">
        <v>97</v>
      </c>
      <c r="S13" s="82" t="s">
        <v>97</v>
      </c>
      <c r="T13" s="93"/>
      <c r="U13" s="87">
        <v>0.6</v>
      </c>
      <c r="V13" s="82">
        <v>0.2</v>
      </c>
      <c r="W13" s="87">
        <v>0</v>
      </c>
      <c r="X13" s="82" t="s">
        <v>97</v>
      </c>
      <c r="Y13" s="87">
        <v>1</v>
      </c>
      <c r="Z13" s="87">
        <v>0.8</v>
      </c>
      <c r="AA13" s="82">
        <v>2.5</v>
      </c>
      <c r="AB13" s="82" t="s">
        <v>97</v>
      </c>
      <c r="AC13" s="82" t="s">
        <v>97</v>
      </c>
      <c r="AD13" s="82" t="s">
        <v>99</v>
      </c>
      <c r="AE13" s="82" t="s">
        <v>110</v>
      </c>
      <c r="AF13" s="20">
        <f t="shared" si="8"/>
        <v>0.8</v>
      </c>
      <c r="AG13" s="13">
        <f t="shared" si="1"/>
        <v>0</v>
      </c>
      <c r="AH13" s="7">
        <f t="shared" si="2"/>
        <v>10</v>
      </c>
      <c r="AI13" s="7">
        <f t="shared" si="3"/>
        <v>5</v>
      </c>
      <c r="AJ13" s="7">
        <f t="shared" si="4"/>
        <v>5</v>
      </c>
      <c r="AK13" s="7">
        <f t="shared" si="5"/>
        <v>0</v>
      </c>
      <c r="AL13" s="12">
        <f t="shared" si="9"/>
        <v>20</v>
      </c>
      <c r="AM13" s="14" t="str">
        <f t="shared" si="7"/>
        <v>Barrier</v>
      </c>
      <c r="AN13" s="82"/>
      <c r="AO13" s="87"/>
      <c r="AP13" s="82" t="s">
        <v>152</v>
      </c>
    </row>
    <row r="14" spans="1:42" ht="30" x14ac:dyDescent="0.25">
      <c r="A14" s="83">
        <v>45187</v>
      </c>
      <c r="C14" s="82">
        <v>24600461</v>
      </c>
      <c r="D14" s="82" t="s">
        <v>105</v>
      </c>
      <c r="E14" s="84">
        <v>9</v>
      </c>
      <c r="F14" s="85">
        <v>590957.92771112605</v>
      </c>
      <c r="G14" s="85">
        <v>6071958.56286617</v>
      </c>
      <c r="H14" s="84" t="s">
        <v>187</v>
      </c>
      <c r="I14" s="84" t="s">
        <v>94</v>
      </c>
      <c r="J14" s="92">
        <v>0.75</v>
      </c>
      <c r="K14" s="84"/>
      <c r="L14" s="82" t="s">
        <v>111</v>
      </c>
      <c r="M14" s="82"/>
      <c r="N14" s="94"/>
      <c r="O14" s="94"/>
      <c r="P14" s="93"/>
      <c r="Q14" s="93"/>
      <c r="R14" s="93"/>
      <c r="S14" s="93"/>
      <c r="T14" s="93"/>
      <c r="U14" s="94"/>
      <c r="V14" s="93"/>
      <c r="W14" s="94"/>
      <c r="X14" s="93"/>
      <c r="Y14" s="94"/>
      <c r="Z14" s="94"/>
      <c r="AA14" s="93"/>
      <c r="AB14" s="82" t="s">
        <v>97</v>
      </c>
      <c r="AC14" s="82" t="s">
        <v>97</v>
      </c>
      <c r="AD14" s="93"/>
      <c r="AE14" s="93"/>
      <c r="AF14" s="20">
        <f t="shared" si="8"/>
        <v>0</v>
      </c>
      <c r="AG14" s="13">
        <f t="shared" si="1"/>
        <v>0</v>
      </c>
      <c r="AH14" s="7">
        <f t="shared" si="2"/>
        <v>0</v>
      </c>
      <c r="AI14" s="7">
        <f t="shared" si="3"/>
        <v>0</v>
      </c>
      <c r="AJ14" s="7">
        <f t="shared" si="4"/>
        <v>0</v>
      </c>
      <c r="AK14" s="7">
        <f t="shared" si="5"/>
        <v>0</v>
      </c>
      <c r="AL14" s="12">
        <f t="shared" si="9"/>
        <v>0</v>
      </c>
      <c r="AM14" s="14" t="str">
        <f t="shared" si="7"/>
        <v>Unknown</v>
      </c>
      <c r="AN14" s="93"/>
      <c r="AO14" s="94"/>
      <c r="AP14" s="82" t="s">
        <v>153</v>
      </c>
    </row>
    <row r="15" spans="1:42" ht="30" x14ac:dyDescent="0.25">
      <c r="A15" s="83">
        <v>45188</v>
      </c>
      <c r="C15" s="82">
        <v>24601268</v>
      </c>
      <c r="D15" s="82" t="s">
        <v>92</v>
      </c>
      <c r="E15" s="84">
        <v>9</v>
      </c>
      <c r="F15" s="85">
        <v>597568.38934064901</v>
      </c>
      <c r="G15" s="85">
        <v>6070336.6538916295</v>
      </c>
      <c r="H15" s="84" t="s">
        <v>112</v>
      </c>
      <c r="I15" s="84" t="s">
        <v>113</v>
      </c>
      <c r="K15" s="84"/>
      <c r="L15" s="82" t="s">
        <v>95</v>
      </c>
      <c r="M15" s="82" t="s">
        <v>96</v>
      </c>
      <c r="N15" s="87">
        <v>0.6</v>
      </c>
      <c r="O15" s="87">
        <v>12</v>
      </c>
      <c r="P15" s="82" t="s">
        <v>97</v>
      </c>
      <c r="Q15" s="93"/>
      <c r="R15" s="82" t="s">
        <v>97</v>
      </c>
      <c r="S15" s="82" t="s">
        <v>97</v>
      </c>
      <c r="T15" s="94"/>
      <c r="U15" s="87">
        <v>0.8</v>
      </c>
      <c r="V15" s="82">
        <v>1</v>
      </c>
      <c r="W15" s="87">
        <v>0.3</v>
      </c>
      <c r="X15" s="82" t="s">
        <v>97</v>
      </c>
      <c r="Y15" s="87">
        <v>6</v>
      </c>
      <c r="Z15" s="87">
        <v>1.1000000000000001</v>
      </c>
      <c r="AA15" s="82">
        <v>8</v>
      </c>
      <c r="AB15" s="82" t="s">
        <v>97</v>
      </c>
      <c r="AC15" s="82" t="s">
        <v>97</v>
      </c>
      <c r="AD15" s="82" t="s">
        <v>99</v>
      </c>
      <c r="AE15" s="82" t="s">
        <v>110</v>
      </c>
      <c r="AF15" s="20">
        <f t="shared" si="8"/>
        <v>1.8333333333333335</v>
      </c>
      <c r="AG15" s="13">
        <f t="shared" si="1"/>
        <v>0</v>
      </c>
      <c r="AH15" s="7">
        <f t="shared" si="2"/>
        <v>10</v>
      </c>
      <c r="AI15" s="7">
        <f t="shared" si="3"/>
        <v>10</v>
      </c>
      <c r="AJ15" s="7">
        <f t="shared" si="4"/>
        <v>10</v>
      </c>
      <c r="AK15" s="7">
        <f t="shared" si="5"/>
        <v>6</v>
      </c>
      <c r="AL15" s="12">
        <f t="shared" si="9"/>
        <v>36</v>
      </c>
      <c r="AM15" s="14" t="str">
        <f t="shared" si="7"/>
        <v>Barrier</v>
      </c>
      <c r="AN15" s="82"/>
      <c r="AO15" s="87"/>
      <c r="AP15" s="82" t="s">
        <v>154</v>
      </c>
    </row>
    <row r="16" spans="1:42" ht="30" x14ac:dyDescent="0.25">
      <c r="A16" s="83">
        <v>45188</v>
      </c>
      <c r="C16" s="82">
        <v>24601275</v>
      </c>
      <c r="D16" s="82" t="s">
        <v>105</v>
      </c>
      <c r="E16" s="84">
        <v>9</v>
      </c>
      <c r="F16" s="85">
        <v>592852.19341029704</v>
      </c>
      <c r="G16" s="85">
        <v>6070860.67553664</v>
      </c>
      <c r="H16" s="84" t="s">
        <v>187</v>
      </c>
      <c r="I16" s="84" t="s">
        <v>114</v>
      </c>
      <c r="K16" s="84"/>
      <c r="L16" s="82" t="s">
        <v>115</v>
      </c>
      <c r="M16" s="82" t="s">
        <v>116</v>
      </c>
      <c r="N16" s="87">
        <v>5</v>
      </c>
      <c r="O16" s="87">
        <v>20</v>
      </c>
      <c r="P16" s="93"/>
      <c r="Q16" s="93"/>
      <c r="R16" s="93"/>
      <c r="S16" s="93"/>
      <c r="T16" s="94"/>
      <c r="U16" s="94"/>
      <c r="V16" s="93"/>
      <c r="W16" s="94"/>
      <c r="X16" s="93"/>
      <c r="Y16" s="94"/>
      <c r="Z16" s="94"/>
      <c r="AA16" s="93"/>
      <c r="AB16" s="82" t="s">
        <v>97</v>
      </c>
      <c r="AC16" s="82" t="s">
        <v>97</v>
      </c>
      <c r="AD16" s="93"/>
      <c r="AE16" s="93"/>
      <c r="AF16" s="20">
        <f t="shared" si="8"/>
        <v>0</v>
      </c>
      <c r="AG16" s="13">
        <f t="shared" si="1"/>
        <v>3</v>
      </c>
      <c r="AH16" s="7">
        <f t="shared" si="2"/>
        <v>0</v>
      </c>
      <c r="AI16" s="7">
        <f t="shared" si="3"/>
        <v>0</v>
      </c>
      <c r="AJ16" s="7">
        <f t="shared" si="4"/>
        <v>0</v>
      </c>
      <c r="AK16" s="7">
        <f t="shared" si="5"/>
        <v>0</v>
      </c>
      <c r="AL16" s="12">
        <f t="shared" si="9"/>
        <v>3</v>
      </c>
      <c r="AM16" s="14" t="str">
        <f t="shared" si="7"/>
        <v>Passable</v>
      </c>
      <c r="AN16" s="93"/>
      <c r="AO16" s="94"/>
      <c r="AP16" s="82" t="s">
        <v>155</v>
      </c>
    </row>
    <row r="17" spans="1:42" ht="30" x14ac:dyDescent="0.25">
      <c r="A17" s="83">
        <v>45188</v>
      </c>
      <c r="C17" s="82">
        <v>24601279</v>
      </c>
      <c r="D17" s="82" t="s">
        <v>92</v>
      </c>
      <c r="E17" s="84">
        <v>9</v>
      </c>
      <c r="F17" s="85">
        <v>590211.26620618801</v>
      </c>
      <c r="G17" s="85">
        <v>6069930.6258668303</v>
      </c>
      <c r="H17" s="84" t="s">
        <v>187</v>
      </c>
      <c r="I17" s="84" t="s">
        <v>113</v>
      </c>
      <c r="K17" s="84"/>
      <c r="L17" s="82" t="s">
        <v>95</v>
      </c>
      <c r="M17" s="82" t="s">
        <v>96</v>
      </c>
      <c r="N17" s="87">
        <v>1.1000000000000001</v>
      </c>
      <c r="O17" s="87">
        <v>10</v>
      </c>
      <c r="P17" s="82" t="s">
        <v>97</v>
      </c>
      <c r="Q17" s="94"/>
      <c r="R17" s="82" t="s">
        <v>97</v>
      </c>
      <c r="S17" s="82" t="s">
        <v>97</v>
      </c>
      <c r="T17" s="93"/>
      <c r="U17" s="87">
        <v>1.2</v>
      </c>
      <c r="V17" s="82">
        <v>0</v>
      </c>
      <c r="W17" s="87">
        <v>0</v>
      </c>
      <c r="X17" s="82" t="s">
        <v>97</v>
      </c>
      <c r="Y17" s="87">
        <v>8</v>
      </c>
      <c r="Z17" s="87">
        <v>0.8</v>
      </c>
      <c r="AA17" s="82">
        <v>11</v>
      </c>
      <c r="AB17" s="82" t="s">
        <v>97</v>
      </c>
      <c r="AC17" s="82" t="s">
        <v>97</v>
      </c>
      <c r="AD17" s="82" t="s">
        <v>99</v>
      </c>
      <c r="AE17" s="82" t="s">
        <v>110</v>
      </c>
      <c r="AF17" s="20">
        <f t="shared" si="8"/>
        <v>0.72727272727272729</v>
      </c>
      <c r="AG17" s="13">
        <f t="shared" si="1"/>
        <v>0</v>
      </c>
      <c r="AH17" s="7">
        <f t="shared" si="2"/>
        <v>10</v>
      </c>
      <c r="AI17" s="7">
        <f t="shared" si="3"/>
        <v>0</v>
      </c>
      <c r="AJ17" s="7">
        <f t="shared" si="4"/>
        <v>10</v>
      </c>
      <c r="AK17" s="7">
        <f t="shared" si="5"/>
        <v>0</v>
      </c>
      <c r="AL17" s="12">
        <f t="shared" si="9"/>
        <v>20</v>
      </c>
      <c r="AM17" s="14" t="str">
        <f t="shared" si="7"/>
        <v>Barrier</v>
      </c>
      <c r="AN17" s="82"/>
      <c r="AO17" s="87"/>
      <c r="AP17" s="82" t="s">
        <v>156</v>
      </c>
    </row>
    <row r="18" spans="1:42" ht="30" x14ac:dyDescent="0.25">
      <c r="A18" s="83">
        <v>45188</v>
      </c>
      <c r="C18" s="82">
        <v>24601280</v>
      </c>
      <c r="D18" s="82" t="s">
        <v>105</v>
      </c>
      <c r="E18" s="84">
        <v>9</v>
      </c>
      <c r="F18" s="85">
        <v>597636.86861621798</v>
      </c>
      <c r="G18" s="85">
        <v>6070219.7799715605</v>
      </c>
      <c r="H18" s="84" t="s">
        <v>112</v>
      </c>
      <c r="I18" s="84" t="s">
        <v>114</v>
      </c>
      <c r="K18" s="84"/>
      <c r="L18" s="82" t="s">
        <v>95</v>
      </c>
      <c r="M18" s="82" t="s">
        <v>96</v>
      </c>
      <c r="N18" s="87">
        <v>0.6</v>
      </c>
      <c r="O18" s="87">
        <v>18.5</v>
      </c>
      <c r="P18" s="82" t="s">
        <v>97</v>
      </c>
      <c r="Q18" s="93"/>
      <c r="R18" s="82" t="s">
        <v>97</v>
      </c>
      <c r="S18" s="82" t="s">
        <v>97</v>
      </c>
      <c r="T18" s="94"/>
      <c r="U18" s="87">
        <v>1</v>
      </c>
      <c r="V18" s="82">
        <v>0.18</v>
      </c>
      <c r="W18" s="87">
        <v>0.4</v>
      </c>
      <c r="X18" s="82" t="s">
        <v>98</v>
      </c>
      <c r="Y18" s="87">
        <v>5</v>
      </c>
      <c r="Z18" s="87">
        <v>1.8</v>
      </c>
      <c r="AA18" s="82">
        <v>7</v>
      </c>
      <c r="AB18" s="82" t="s">
        <v>97</v>
      </c>
      <c r="AC18" s="82" t="s">
        <v>98</v>
      </c>
      <c r="AD18" s="82" t="s">
        <v>99</v>
      </c>
      <c r="AE18" s="82" t="s">
        <v>103</v>
      </c>
      <c r="AF18" s="20">
        <f t="shared" si="8"/>
        <v>3</v>
      </c>
      <c r="AG18" s="13">
        <f t="shared" si="1"/>
        <v>3</v>
      </c>
      <c r="AH18" s="7">
        <f t="shared" si="2"/>
        <v>10</v>
      </c>
      <c r="AI18" s="7">
        <f t="shared" si="3"/>
        <v>5</v>
      </c>
      <c r="AJ18" s="7">
        <f t="shared" si="4"/>
        <v>10</v>
      </c>
      <c r="AK18" s="7">
        <f t="shared" si="5"/>
        <v>6</v>
      </c>
      <c r="AL18" s="12">
        <f t="shared" si="9"/>
        <v>34</v>
      </c>
      <c r="AM18" s="14" t="str">
        <f t="shared" si="7"/>
        <v>Barrier</v>
      </c>
      <c r="AN18" s="82"/>
      <c r="AO18" s="87"/>
      <c r="AP18" s="82" t="s">
        <v>157</v>
      </c>
    </row>
    <row r="19" spans="1:42" x14ac:dyDescent="0.25">
      <c r="A19" s="83">
        <v>45194</v>
      </c>
      <c r="C19" s="82">
        <v>8300003</v>
      </c>
      <c r="D19" s="82" t="s">
        <v>92</v>
      </c>
      <c r="E19" s="84">
        <v>9</v>
      </c>
      <c r="F19" s="85">
        <v>585139.96705797105</v>
      </c>
      <c r="G19" s="85">
        <v>6119114.8776774099</v>
      </c>
      <c r="H19" s="84" t="s">
        <v>117</v>
      </c>
      <c r="I19" s="84" t="s">
        <v>125</v>
      </c>
      <c r="J19" s="33"/>
      <c r="K19" s="84" t="s">
        <v>118</v>
      </c>
      <c r="L19" s="82" t="s">
        <v>95</v>
      </c>
      <c r="M19" s="82" t="s">
        <v>96</v>
      </c>
      <c r="N19" s="87">
        <v>1.6</v>
      </c>
      <c r="O19" s="87">
        <v>20</v>
      </c>
      <c r="P19" s="82" t="s">
        <v>97</v>
      </c>
      <c r="Q19" s="93"/>
      <c r="R19" s="82" t="s">
        <v>97</v>
      </c>
      <c r="S19" s="82" t="s">
        <v>97</v>
      </c>
      <c r="T19" s="94"/>
      <c r="U19" s="87">
        <v>4</v>
      </c>
      <c r="V19" s="82">
        <v>0.2</v>
      </c>
      <c r="W19" s="87">
        <v>0.7</v>
      </c>
      <c r="X19" s="82" t="s">
        <v>97</v>
      </c>
      <c r="Y19" s="87">
        <v>4.5</v>
      </c>
      <c r="Z19" s="87">
        <v>3.9</v>
      </c>
      <c r="AA19" s="82">
        <v>3</v>
      </c>
      <c r="AB19" s="82" t="s">
        <v>97</v>
      </c>
      <c r="AC19" s="82" t="s">
        <v>97</v>
      </c>
      <c r="AD19" s="82" t="s">
        <v>99</v>
      </c>
      <c r="AE19" s="82" t="s">
        <v>100</v>
      </c>
      <c r="AF19" s="20">
        <f t="shared" si="8"/>
        <v>2.4375</v>
      </c>
      <c r="AG19" s="13">
        <f t="shared" si="1"/>
        <v>3</v>
      </c>
      <c r="AH19" s="7">
        <f t="shared" si="2"/>
        <v>10</v>
      </c>
      <c r="AI19" s="7">
        <f t="shared" si="3"/>
        <v>5</v>
      </c>
      <c r="AJ19" s="7">
        <f t="shared" si="4"/>
        <v>10</v>
      </c>
      <c r="AK19" s="7">
        <f t="shared" si="5"/>
        <v>6</v>
      </c>
      <c r="AL19" s="12">
        <f t="shared" si="9"/>
        <v>34</v>
      </c>
      <c r="AM19" s="14" t="str">
        <f t="shared" si="7"/>
        <v>Barrier</v>
      </c>
      <c r="AN19" s="82"/>
      <c r="AO19" s="87"/>
      <c r="AP19" s="82" t="s">
        <v>158</v>
      </c>
    </row>
    <row r="20" spans="1:42" x14ac:dyDescent="0.25">
      <c r="A20" s="83">
        <v>45194</v>
      </c>
      <c r="C20" s="82">
        <v>8300013</v>
      </c>
      <c r="D20" s="82" t="s">
        <v>92</v>
      </c>
      <c r="E20" s="84">
        <v>9</v>
      </c>
      <c r="F20" s="85">
        <v>581147.46147270699</v>
      </c>
      <c r="G20" s="85">
        <v>6115878.6501265103</v>
      </c>
      <c r="H20" s="82" t="s">
        <v>119</v>
      </c>
      <c r="I20" s="84" t="s">
        <v>120</v>
      </c>
      <c r="J20" s="33"/>
      <c r="K20" s="84"/>
      <c r="L20" s="82" t="s">
        <v>95</v>
      </c>
      <c r="M20" s="82" t="s">
        <v>96</v>
      </c>
      <c r="N20" s="87">
        <v>0.75</v>
      </c>
      <c r="O20" s="87">
        <v>8</v>
      </c>
      <c r="P20" s="82" t="s">
        <v>97</v>
      </c>
      <c r="Q20" s="93"/>
      <c r="R20" s="82" t="s">
        <v>97</v>
      </c>
      <c r="S20" s="82" t="s">
        <v>97</v>
      </c>
      <c r="T20" s="93"/>
      <c r="U20" s="82">
        <v>1</v>
      </c>
      <c r="V20" s="82">
        <v>0</v>
      </c>
      <c r="W20" s="82">
        <v>0</v>
      </c>
      <c r="X20" s="82" t="s">
        <v>97</v>
      </c>
      <c r="Y20" s="82">
        <v>2</v>
      </c>
      <c r="Z20" s="82">
        <v>2.1</v>
      </c>
      <c r="AA20" s="82">
        <v>3</v>
      </c>
      <c r="AB20" s="82" t="s">
        <v>97</v>
      </c>
      <c r="AC20" s="82" t="s">
        <v>97</v>
      </c>
      <c r="AD20" s="82" t="s">
        <v>99</v>
      </c>
      <c r="AE20" s="82" t="s">
        <v>110</v>
      </c>
      <c r="AF20" s="20">
        <f t="shared" si="8"/>
        <v>2.8000000000000003</v>
      </c>
      <c r="AG20" s="13">
        <f t="shared" si="1"/>
        <v>0</v>
      </c>
      <c r="AH20" s="7">
        <f t="shared" si="2"/>
        <v>10</v>
      </c>
      <c r="AI20" s="7">
        <f t="shared" si="3"/>
        <v>0</v>
      </c>
      <c r="AJ20" s="7">
        <f t="shared" si="4"/>
        <v>5</v>
      </c>
      <c r="AK20" s="7">
        <f t="shared" si="5"/>
        <v>6</v>
      </c>
      <c r="AL20" s="12">
        <f t="shared" si="9"/>
        <v>21</v>
      </c>
      <c r="AM20" s="14" t="str">
        <f t="shared" si="7"/>
        <v>Barrier</v>
      </c>
      <c r="AN20" s="82"/>
      <c r="AO20" s="82"/>
      <c r="AP20" s="82" t="s">
        <v>159</v>
      </c>
    </row>
    <row r="21" spans="1:42" x14ac:dyDescent="0.25">
      <c r="A21" s="83">
        <v>45194</v>
      </c>
      <c r="C21" s="82">
        <v>8300091</v>
      </c>
      <c r="D21" s="82" t="s">
        <v>92</v>
      </c>
      <c r="E21" s="82">
        <v>9</v>
      </c>
      <c r="F21" s="87">
        <v>585181.32496605604</v>
      </c>
      <c r="G21" s="87">
        <v>6120192.0778484801</v>
      </c>
      <c r="H21" s="82" t="s">
        <v>121</v>
      </c>
      <c r="I21" s="82" t="s">
        <v>122</v>
      </c>
      <c r="J21" s="33"/>
      <c r="K21" s="82"/>
      <c r="L21" s="82" t="s">
        <v>95</v>
      </c>
      <c r="M21" s="82" t="s">
        <v>96</v>
      </c>
      <c r="N21" s="87">
        <v>2</v>
      </c>
      <c r="O21" s="87">
        <v>15</v>
      </c>
      <c r="P21" s="82" t="s">
        <v>97</v>
      </c>
      <c r="Q21" s="94"/>
      <c r="R21" s="82" t="s">
        <v>97</v>
      </c>
      <c r="S21" s="82" t="s">
        <v>97</v>
      </c>
      <c r="T21" s="94"/>
      <c r="U21" s="87">
        <v>2.2000000000000002</v>
      </c>
      <c r="V21" s="82">
        <v>0</v>
      </c>
      <c r="W21" s="87">
        <v>0</v>
      </c>
      <c r="X21" s="82" t="s">
        <v>97</v>
      </c>
      <c r="Y21" s="87">
        <v>1</v>
      </c>
      <c r="Z21" s="87">
        <v>3.1</v>
      </c>
      <c r="AA21" s="82">
        <v>1</v>
      </c>
      <c r="AB21" s="82" t="s">
        <v>97</v>
      </c>
      <c r="AC21" s="82" t="s">
        <v>98</v>
      </c>
      <c r="AD21" s="82" t="s">
        <v>99</v>
      </c>
      <c r="AE21" s="82" t="s">
        <v>103</v>
      </c>
      <c r="AF21" s="20">
        <f t="shared" si="8"/>
        <v>1.55</v>
      </c>
      <c r="AG21" s="13">
        <f t="shared" si="1"/>
        <v>3</v>
      </c>
      <c r="AH21" s="7">
        <f t="shared" si="2"/>
        <v>10</v>
      </c>
      <c r="AI21" s="7">
        <f t="shared" si="3"/>
        <v>0</v>
      </c>
      <c r="AJ21" s="7">
        <f t="shared" si="4"/>
        <v>5</v>
      </c>
      <c r="AK21" s="7">
        <f t="shared" si="5"/>
        <v>6</v>
      </c>
      <c r="AL21" s="12">
        <f t="shared" si="9"/>
        <v>24</v>
      </c>
      <c r="AM21" s="14" t="str">
        <f t="shared" si="7"/>
        <v>Barrier</v>
      </c>
      <c r="AN21" s="82"/>
      <c r="AO21" s="87"/>
      <c r="AP21" s="82" t="s">
        <v>160</v>
      </c>
    </row>
    <row r="22" spans="1:42" x14ac:dyDescent="0.25">
      <c r="A22" s="83">
        <v>45194</v>
      </c>
      <c r="C22" s="82">
        <v>8300094</v>
      </c>
      <c r="D22" s="82" t="s">
        <v>92</v>
      </c>
      <c r="E22" s="84">
        <v>9</v>
      </c>
      <c r="F22" s="85">
        <v>578733.46410912997</v>
      </c>
      <c r="G22" s="85">
        <v>6113127.2246667603</v>
      </c>
      <c r="H22" s="84" t="s">
        <v>123</v>
      </c>
      <c r="I22" s="84" t="s">
        <v>125</v>
      </c>
      <c r="K22" s="84" t="s">
        <v>118</v>
      </c>
      <c r="L22" s="82" t="s">
        <v>95</v>
      </c>
      <c r="M22" s="82" t="s">
        <v>96</v>
      </c>
      <c r="N22" s="87">
        <v>0.9</v>
      </c>
      <c r="O22" s="87">
        <v>32</v>
      </c>
      <c r="P22" s="82" t="s">
        <v>97</v>
      </c>
      <c r="Q22" s="94"/>
      <c r="R22" s="82" t="s">
        <v>97</v>
      </c>
      <c r="S22" s="82" t="s">
        <v>97</v>
      </c>
      <c r="T22" s="94"/>
      <c r="U22" s="87">
        <v>3</v>
      </c>
      <c r="V22" s="82">
        <v>0</v>
      </c>
      <c r="W22" s="87">
        <v>0</v>
      </c>
      <c r="X22" s="82" t="s">
        <v>97</v>
      </c>
      <c r="Y22" s="87">
        <v>2</v>
      </c>
      <c r="Z22" s="87">
        <v>0.9</v>
      </c>
      <c r="AA22" s="82">
        <v>3</v>
      </c>
      <c r="AB22" s="82" t="s">
        <v>97</v>
      </c>
      <c r="AC22" s="82" t="s">
        <v>97</v>
      </c>
      <c r="AD22" s="82" t="s">
        <v>99</v>
      </c>
      <c r="AE22" s="82" t="s">
        <v>110</v>
      </c>
      <c r="AF22" s="20">
        <f t="shared" si="8"/>
        <v>1</v>
      </c>
      <c r="AG22" s="13">
        <f t="shared" si="1"/>
        <v>6</v>
      </c>
      <c r="AH22" s="7">
        <f t="shared" si="2"/>
        <v>10</v>
      </c>
      <c r="AI22" s="7">
        <f t="shared" si="3"/>
        <v>0</v>
      </c>
      <c r="AJ22" s="7">
        <f t="shared" si="4"/>
        <v>5</v>
      </c>
      <c r="AK22" s="7">
        <f t="shared" si="5"/>
        <v>3</v>
      </c>
      <c r="AL22" s="12">
        <f t="shared" si="9"/>
        <v>24</v>
      </c>
      <c r="AM22" s="14" t="str">
        <f t="shared" si="7"/>
        <v>Barrier</v>
      </c>
      <c r="AN22" s="82"/>
      <c r="AO22" s="87"/>
      <c r="AP22" s="82" t="s">
        <v>161</v>
      </c>
    </row>
    <row r="23" spans="1:42" x14ac:dyDescent="0.25">
      <c r="A23" s="83">
        <v>45194</v>
      </c>
      <c r="C23" s="82">
        <v>8300157</v>
      </c>
      <c r="D23" s="82" t="s">
        <v>105</v>
      </c>
      <c r="E23" s="84">
        <v>9</v>
      </c>
      <c r="F23" s="85">
        <v>562493.60553930502</v>
      </c>
      <c r="G23" s="85">
        <v>6105028.5558879599</v>
      </c>
      <c r="H23" s="84" t="s">
        <v>124</v>
      </c>
      <c r="I23" s="84" t="s">
        <v>125</v>
      </c>
      <c r="K23" s="84" t="s">
        <v>126</v>
      </c>
      <c r="L23" s="82" t="s">
        <v>95</v>
      </c>
      <c r="M23" s="82" t="s">
        <v>127</v>
      </c>
      <c r="N23" s="87">
        <v>4.5</v>
      </c>
      <c r="O23" s="87">
        <v>28</v>
      </c>
      <c r="P23" s="82" t="s">
        <v>97</v>
      </c>
      <c r="Q23" s="94"/>
      <c r="R23" s="82" t="s">
        <v>97</v>
      </c>
      <c r="S23" s="82" t="s">
        <v>97</v>
      </c>
      <c r="T23" s="94"/>
      <c r="U23" s="87">
        <v>4</v>
      </c>
      <c r="V23" s="82">
        <v>2</v>
      </c>
      <c r="W23" s="87">
        <v>0.4</v>
      </c>
      <c r="X23" s="82" t="s">
        <v>98</v>
      </c>
      <c r="Y23" s="87">
        <v>5.5</v>
      </c>
      <c r="Z23" s="87">
        <v>5.8</v>
      </c>
      <c r="AA23" s="82">
        <v>8</v>
      </c>
      <c r="AB23" s="82" t="s">
        <v>97</v>
      </c>
      <c r="AC23" s="82" t="s">
        <v>97</v>
      </c>
      <c r="AD23" s="82" t="s">
        <v>99</v>
      </c>
      <c r="AE23" s="82" t="s">
        <v>100</v>
      </c>
      <c r="AF23" s="20">
        <f t="shared" si="8"/>
        <v>1.2888888888888888</v>
      </c>
      <c r="AG23" s="13">
        <f t="shared" si="1"/>
        <v>3</v>
      </c>
      <c r="AH23" s="7">
        <f t="shared" si="2"/>
        <v>10</v>
      </c>
      <c r="AI23" s="7">
        <f t="shared" si="3"/>
        <v>10</v>
      </c>
      <c r="AJ23" s="7">
        <f t="shared" si="4"/>
        <v>10</v>
      </c>
      <c r="AK23" s="7">
        <f t="shared" si="5"/>
        <v>3</v>
      </c>
      <c r="AL23" s="12">
        <f t="shared" si="9"/>
        <v>36</v>
      </c>
      <c r="AM23" s="14" t="str">
        <f t="shared" si="7"/>
        <v>Barrier</v>
      </c>
      <c r="AN23" s="82"/>
      <c r="AO23" s="87"/>
      <c r="AP23" s="82" t="s">
        <v>162</v>
      </c>
    </row>
    <row r="24" spans="1:42" ht="30" x14ac:dyDescent="0.25">
      <c r="A24" s="83">
        <v>45194</v>
      </c>
      <c r="C24" s="82">
        <v>8300756</v>
      </c>
      <c r="D24" s="82" t="s">
        <v>92</v>
      </c>
      <c r="E24" s="84">
        <v>9</v>
      </c>
      <c r="F24" s="85">
        <v>585631.43051260198</v>
      </c>
      <c r="G24" s="85">
        <v>6120092.0526728397</v>
      </c>
      <c r="H24" s="84" t="s">
        <v>121</v>
      </c>
      <c r="I24" s="84" t="s">
        <v>125</v>
      </c>
      <c r="K24" s="84"/>
      <c r="L24" s="82" t="s">
        <v>95</v>
      </c>
      <c r="M24" s="82" t="s">
        <v>96</v>
      </c>
      <c r="N24" s="87">
        <v>1.25</v>
      </c>
      <c r="O24" s="87">
        <v>34</v>
      </c>
      <c r="P24" s="82" t="s">
        <v>97</v>
      </c>
      <c r="Q24" s="94"/>
      <c r="R24" s="82" t="s">
        <v>97</v>
      </c>
      <c r="S24" s="82" t="s">
        <v>97</v>
      </c>
      <c r="T24" s="94"/>
      <c r="U24" s="87">
        <v>6</v>
      </c>
      <c r="V24" s="82">
        <v>0.05</v>
      </c>
      <c r="W24" s="87">
        <v>0.3</v>
      </c>
      <c r="X24" s="82" t="s">
        <v>97</v>
      </c>
      <c r="Y24" s="87">
        <v>0.5</v>
      </c>
      <c r="Z24" s="87">
        <v>2.4</v>
      </c>
      <c r="AA24" s="82">
        <v>2</v>
      </c>
      <c r="AB24" s="82" t="s">
        <v>97</v>
      </c>
      <c r="AC24" s="82" t="s">
        <v>97</v>
      </c>
      <c r="AD24" s="82" t="s">
        <v>99</v>
      </c>
      <c r="AE24" s="82" t="s">
        <v>103</v>
      </c>
      <c r="AF24" s="20">
        <f t="shared" si="8"/>
        <v>1.92</v>
      </c>
      <c r="AG24" s="13">
        <f t="shared" si="1"/>
        <v>6</v>
      </c>
      <c r="AH24" s="7">
        <f t="shared" si="2"/>
        <v>10</v>
      </c>
      <c r="AI24" s="7">
        <f t="shared" si="3"/>
        <v>0</v>
      </c>
      <c r="AJ24" s="7">
        <f t="shared" si="4"/>
        <v>0</v>
      </c>
      <c r="AK24" s="7">
        <f t="shared" si="5"/>
        <v>6</v>
      </c>
      <c r="AL24" s="12">
        <f t="shared" si="9"/>
        <v>22</v>
      </c>
      <c r="AM24" s="14" t="str">
        <f t="shared" si="7"/>
        <v>Barrier</v>
      </c>
      <c r="AN24" s="82"/>
      <c r="AO24" s="87"/>
      <c r="AP24" s="82" t="s">
        <v>163</v>
      </c>
    </row>
    <row r="25" spans="1:42" ht="30" x14ac:dyDescent="0.25">
      <c r="A25" s="83">
        <v>45194</v>
      </c>
      <c r="C25" s="82">
        <v>8300759</v>
      </c>
      <c r="D25" s="82" t="s">
        <v>92</v>
      </c>
      <c r="E25" s="84">
        <v>9</v>
      </c>
      <c r="F25" s="85">
        <v>584964.96026571398</v>
      </c>
      <c r="G25" s="85">
        <v>6118989.2020226596</v>
      </c>
      <c r="H25" s="84" t="s">
        <v>128</v>
      </c>
      <c r="I25" s="84" t="s">
        <v>125</v>
      </c>
      <c r="K25" s="84" t="s">
        <v>118</v>
      </c>
      <c r="L25" s="82" t="s">
        <v>95</v>
      </c>
      <c r="M25" s="82" t="s">
        <v>96</v>
      </c>
      <c r="N25" s="87">
        <v>1.8</v>
      </c>
      <c r="O25" s="87">
        <v>22</v>
      </c>
      <c r="P25" s="82" t="s">
        <v>97</v>
      </c>
      <c r="Q25" s="94"/>
      <c r="R25" s="82" t="s">
        <v>97</v>
      </c>
      <c r="S25" s="82" t="s">
        <v>97</v>
      </c>
      <c r="T25" s="94"/>
      <c r="U25" s="87">
        <v>1.6</v>
      </c>
      <c r="V25" s="82">
        <v>0</v>
      </c>
      <c r="W25" s="87">
        <v>0</v>
      </c>
      <c r="X25" s="82" t="s">
        <v>97</v>
      </c>
      <c r="Y25" s="87">
        <v>0.5</v>
      </c>
      <c r="Z25" s="87">
        <v>2.2999999999999998</v>
      </c>
      <c r="AA25" s="82">
        <v>3.5</v>
      </c>
      <c r="AB25" s="82" t="s">
        <v>97</v>
      </c>
      <c r="AC25" s="82" t="s">
        <v>97</v>
      </c>
      <c r="AD25" s="82" t="s">
        <v>99</v>
      </c>
      <c r="AE25" s="82" t="s">
        <v>103</v>
      </c>
      <c r="AF25" s="20">
        <f t="shared" si="8"/>
        <v>1.2777777777777777</v>
      </c>
      <c r="AG25" s="13">
        <f t="shared" si="1"/>
        <v>3</v>
      </c>
      <c r="AH25" s="7">
        <f t="shared" si="2"/>
        <v>10</v>
      </c>
      <c r="AI25" s="7">
        <f t="shared" si="3"/>
        <v>0</v>
      </c>
      <c r="AJ25" s="7">
        <f t="shared" si="4"/>
        <v>0</v>
      </c>
      <c r="AK25" s="7">
        <f t="shared" si="5"/>
        <v>3</v>
      </c>
      <c r="AL25" s="12">
        <f t="shared" si="9"/>
        <v>16</v>
      </c>
      <c r="AM25" s="14" t="str">
        <f t="shared" si="7"/>
        <v>Potential</v>
      </c>
      <c r="AN25" s="82"/>
      <c r="AO25" s="87"/>
      <c r="AP25" s="82" t="s">
        <v>164</v>
      </c>
    </row>
    <row r="26" spans="1:42" ht="30" x14ac:dyDescent="0.25">
      <c r="A26" s="83">
        <v>45194</v>
      </c>
      <c r="C26" s="82">
        <v>8300872</v>
      </c>
      <c r="D26" s="82" t="s">
        <v>92</v>
      </c>
      <c r="E26" s="84">
        <v>9</v>
      </c>
      <c r="F26" s="85">
        <v>581254.61511565105</v>
      </c>
      <c r="G26" s="85">
        <v>6115637.2463156804</v>
      </c>
      <c r="H26" s="84" t="s">
        <v>129</v>
      </c>
      <c r="I26" s="84" t="s">
        <v>125</v>
      </c>
      <c r="K26" s="84" t="s">
        <v>118</v>
      </c>
      <c r="L26" s="82" t="s">
        <v>95</v>
      </c>
      <c r="M26" s="82" t="s">
        <v>96</v>
      </c>
      <c r="N26" s="87">
        <v>1.5</v>
      </c>
      <c r="O26" s="87">
        <v>20</v>
      </c>
      <c r="P26" s="82" t="s">
        <v>97</v>
      </c>
      <c r="Q26" s="94"/>
      <c r="R26" s="82" t="s">
        <v>97</v>
      </c>
      <c r="S26" s="82" t="s">
        <v>97</v>
      </c>
      <c r="T26" s="94"/>
      <c r="U26" s="87">
        <v>3</v>
      </c>
      <c r="V26" s="82">
        <v>0.4</v>
      </c>
      <c r="W26" s="87">
        <v>0.9</v>
      </c>
      <c r="X26" s="82" t="s">
        <v>97</v>
      </c>
      <c r="Y26" s="87">
        <v>2</v>
      </c>
      <c r="Z26" s="87">
        <v>4.0999999999999996</v>
      </c>
      <c r="AA26" s="82">
        <v>1.5</v>
      </c>
      <c r="AB26" s="82" t="s">
        <v>97</v>
      </c>
      <c r="AC26" s="82" t="s">
        <v>97</v>
      </c>
      <c r="AD26" s="82" t="s">
        <v>99</v>
      </c>
      <c r="AE26" s="82" t="s">
        <v>100</v>
      </c>
      <c r="AF26" s="20">
        <f t="shared" si="8"/>
        <v>2.7333333333333329</v>
      </c>
      <c r="AG26" s="13">
        <f t="shared" si="1"/>
        <v>3</v>
      </c>
      <c r="AH26" s="7">
        <f t="shared" si="2"/>
        <v>10</v>
      </c>
      <c r="AI26" s="7">
        <f t="shared" si="3"/>
        <v>10</v>
      </c>
      <c r="AJ26" s="7">
        <f t="shared" si="4"/>
        <v>5</v>
      </c>
      <c r="AK26" s="7">
        <f t="shared" si="5"/>
        <v>6</v>
      </c>
      <c r="AL26" s="12">
        <f t="shared" si="9"/>
        <v>34</v>
      </c>
      <c r="AM26" s="14" t="str">
        <f t="shared" si="7"/>
        <v>Barrier</v>
      </c>
      <c r="AN26" s="82"/>
      <c r="AO26" s="87"/>
      <c r="AP26" s="82" t="s">
        <v>165</v>
      </c>
    </row>
    <row r="27" spans="1:42" x14ac:dyDescent="0.25">
      <c r="A27" s="83">
        <v>45194</v>
      </c>
      <c r="C27" s="82">
        <v>8300970</v>
      </c>
      <c r="D27" s="82" t="s">
        <v>92</v>
      </c>
      <c r="E27" s="84">
        <v>9</v>
      </c>
      <c r="F27" s="85">
        <v>569106.44412982196</v>
      </c>
      <c r="G27" s="85">
        <v>6105804.1181504903</v>
      </c>
      <c r="H27" s="84" t="s">
        <v>130</v>
      </c>
      <c r="I27" s="84" t="s">
        <v>125</v>
      </c>
      <c r="K27" s="84"/>
      <c r="L27" s="82" t="s">
        <v>95</v>
      </c>
      <c r="M27" s="82" t="s">
        <v>96</v>
      </c>
      <c r="N27" s="87">
        <v>1.5</v>
      </c>
      <c r="O27" s="87">
        <v>20</v>
      </c>
      <c r="P27" s="82" t="s">
        <v>97</v>
      </c>
      <c r="Q27" s="94"/>
      <c r="R27" s="82" t="s">
        <v>97</v>
      </c>
      <c r="S27" s="82" t="s">
        <v>97</v>
      </c>
      <c r="T27" s="94"/>
      <c r="U27" s="87">
        <v>1.2</v>
      </c>
      <c r="V27" s="82">
        <v>1.6</v>
      </c>
      <c r="W27" s="87">
        <v>0.5</v>
      </c>
      <c r="X27" s="82" t="s">
        <v>97</v>
      </c>
      <c r="Y27" s="87">
        <v>5</v>
      </c>
      <c r="Z27" s="87">
        <v>3.9</v>
      </c>
      <c r="AA27" s="82">
        <v>7</v>
      </c>
      <c r="AB27" s="82" t="s">
        <v>97</v>
      </c>
      <c r="AC27" s="82" t="s">
        <v>97</v>
      </c>
      <c r="AD27" s="82" t="s">
        <v>99</v>
      </c>
      <c r="AE27" s="82" t="s">
        <v>100</v>
      </c>
      <c r="AF27" s="20">
        <f t="shared" si="8"/>
        <v>2.6</v>
      </c>
      <c r="AG27" s="13">
        <f t="shared" si="1"/>
        <v>3</v>
      </c>
      <c r="AH27" s="7">
        <f t="shared" si="2"/>
        <v>10</v>
      </c>
      <c r="AI27" s="7">
        <f t="shared" si="3"/>
        <v>10</v>
      </c>
      <c r="AJ27" s="7">
        <f t="shared" si="4"/>
        <v>10</v>
      </c>
      <c r="AK27" s="7">
        <f t="shared" si="5"/>
        <v>6</v>
      </c>
      <c r="AL27" s="12">
        <f t="shared" si="9"/>
        <v>39</v>
      </c>
      <c r="AM27" s="14" t="str">
        <f t="shared" si="7"/>
        <v>Barrier</v>
      </c>
      <c r="AN27" s="82"/>
      <c r="AO27" s="87"/>
      <c r="AP27" s="82" t="s">
        <v>166</v>
      </c>
    </row>
    <row r="28" spans="1:42" ht="30" x14ac:dyDescent="0.25">
      <c r="A28" s="83">
        <v>45194</v>
      </c>
      <c r="C28" s="82">
        <v>8302868</v>
      </c>
      <c r="D28" s="82" t="s">
        <v>105</v>
      </c>
      <c r="E28" s="84">
        <v>9</v>
      </c>
      <c r="F28" s="85">
        <v>584380.04364131496</v>
      </c>
      <c r="G28" s="85">
        <v>6119478.1354091801</v>
      </c>
      <c r="H28" s="84" t="s">
        <v>117</v>
      </c>
      <c r="I28" s="84" t="s">
        <v>131</v>
      </c>
      <c r="K28" s="84" t="s">
        <v>132</v>
      </c>
      <c r="L28" s="82" t="s">
        <v>95</v>
      </c>
      <c r="M28" s="82" t="s">
        <v>96</v>
      </c>
      <c r="N28" s="87">
        <v>1.7</v>
      </c>
      <c r="O28" s="87">
        <v>75</v>
      </c>
      <c r="P28" s="82" t="s">
        <v>97</v>
      </c>
      <c r="Q28" s="94"/>
      <c r="R28" s="82" t="s">
        <v>97</v>
      </c>
      <c r="S28" s="82" t="s">
        <v>97</v>
      </c>
      <c r="T28" s="94"/>
      <c r="U28" s="87">
        <v>18</v>
      </c>
      <c r="V28" s="82">
        <v>1.2</v>
      </c>
      <c r="W28" s="87">
        <v>1</v>
      </c>
      <c r="X28" s="82" t="s">
        <v>98</v>
      </c>
      <c r="Y28" s="87">
        <v>2</v>
      </c>
      <c r="Z28" s="87">
        <v>5</v>
      </c>
      <c r="AA28" s="82">
        <v>2</v>
      </c>
      <c r="AB28" s="82" t="s">
        <v>97</v>
      </c>
      <c r="AC28" s="82" t="s">
        <v>98</v>
      </c>
      <c r="AD28" s="82" t="s">
        <v>99</v>
      </c>
      <c r="AE28" s="82" t="s">
        <v>100</v>
      </c>
      <c r="AF28" s="20">
        <f t="shared" si="8"/>
        <v>2.9411764705882355</v>
      </c>
      <c r="AG28" s="13">
        <f t="shared" si="1"/>
        <v>6</v>
      </c>
      <c r="AH28" s="7">
        <f t="shared" si="2"/>
        <v>10</v>
      </c>
      <c r="AI28" s="7">
        <f t="shared" si="3"/>
        <v>10</v>
      </c>
      <c r="AJ28" s="7">
        <f t="shared" si="4"/>
        <v>5</v>
      </c>
      <c r="AK28" s="7">
        <f t="shared" si="5"/>
        <v>6</v>
      </c>
      <c r="AL28" s="12">
        <f t="shared" si="9"/>
        <v>37</v>
      </c>
      <c r="AM28" s="14" t="str">
        <f t="shared" si="7"/>
        <v>Barrier</v>
      </c>
      <c r="AN28" s="82"/>
      <c r="AO28" s="87"/>
      <c r="AP28" s="82" t="s">
        <v>167</v>
      </c>
    </row>
    <row r="29" spans="1:42" ht="30" x14ac:dyDescent="0.25">
      <c r="A29" s="83">
        <v>45194</v>
      </c>
      <c r="C29" s="82">
        <v>8302869</v>
      </c>
      <c r="D29" s="82" t="s">
        <v>105</v>
      </c>
      <c r="E29" s="84">
        <v>9</v>
      </c>
      <c r="F29" s="85">
        <v>580430.30811501399</v>
      </c>
      <c r="G29" s="85">
        <v>6115771.5414011804</v>
      </c>
      <c r="H29" s="84" t="s">
        <v>119</v>
      </c>
      <c r="I29" s="84" t="s">
        <v>131</v>
      </c>
      <c r="K29" s="84" t="s">
        <v>132</v>
      </c>
      <c r="L29" s="82" t="s">
        <v>95</v>
      </c>
      <c r="M29" s="82" t="s">
        <v>133</v>
      </c>
      <c r="N29" s="87">
        <v>1.5</v>
      </c>
      <c r="O29" s="87">
        <v>120</v>
      </c>
      <c r="P29" s="82" t="s">
        <v>97</v>
      </c>
      <c r="Q29" s="94"/>
      <c r="R29" s="82" t="s">
        <v>97</v>
      </c>
      <c r="S29" s="82" t="s">
        <v>97</v>
      </c>
      <c r="T29" s="94"/>
      <c r="U29" s="87">
        <v>30</v>
      </c>
      <c r="V29" s="82">
        <v>0.4</v>
      </c>
      <c r="W29" s="87">
        <v>0.35</v>
      </c>
      <c r="X29" s="82" t="s">
        <v>97</v>
      </c>
      <c r="Y29" s="87">
        <v>7</v>
      </c>
      <c r="Z29" s="87">
        <v>4.5</v>
      </c>
      <c r="AA29" s="82">
        <v>10</v>
      </c>
      <c r="AB29" s="82" t="s">
        <v>97</v>
      </c>
      <c r="AC29" s="82" t="s">
        <v>98</v>
      </c>
      <c r="AD29" s="82" t="s">
        <v>99</v>
      </c>
      <c r="AE29" s="82" t="s">
        <v>100</v>
      </c>
      <c r="AF29" s="20">
        <f t="shared" si="8"/>
        <v>3</v>
      </c>
      <c r="AG29" s="13">
        <f t="shared" si="1"/>
        <v>6</v>
      </c>
      <c r="AH29" s="7">
        <f t="shared" si="2"/>
        <v>10</v>
      </c>
      <c r="AI29" s="7">
        <f t="shared" si="3"/>
        <v>10</v>
      </c>
      <c r="AJ29" s="7">
        <f t="shared" si="4"/>
        <v>10</v>
      </c>
      <c r="AK29" s="7">
        <f t="shared" si="5"/>
        <v>6</v>
      </c>
      <c r="AL29" s="12">
        <f t="shared" si="9"/>
        <v>42</v>
      </c>
      <c r="AM29" s="14" t="str">
        <f t="shared" si="7"/>
        <v>Barrier</v>
      </c>
      <c r="AN29" s="82"/>
      <c r="AO29" s="87"/>
      <c r="AP29" s="82" t="s">
        <v>168</v>
      </c>
    </row>
    <row r="30" spans="1:42" ht="30" x14ac:dyDescent="0.25">
      <c r="A30" s="83">
        <v>45194</v>
      </c>
      <c r="C30" s="82">
        <v>8800020</v>
      </c>
      <c r="D30" s="82" t="s">
        <v>105</v>
      </c>
      <c r="E30" s="84">
        <v>9</v>
      </c>
      <c r="F30" s="85">
        <v>543151.82572489604</v>
      </c>
      <c r="G30" s="85">
        <v>6096208.8297874201</v>
      </c>
      <c r="H30" s="84" t="s">
        <v>121</v>
      </c>
      <c r="I30" s="84" t="s">
        <v>188</v>
      </c>
      <c r="K30" s="84" t="s">
        <v>126</v>
      </c>
      <c r="L30" s="82" t="s">
        <v>95</v>
      </c>
      <c r="M30" s="82" t="s">
        <v>96</v>
      </c>
      <c r="N30" s="87">
        <v>1.5</v>
      </c>
      <c r="O30" s="87">
        <v>22</v>
      </c>
      <c r="P30" s="82" t="s">
        <v>97</v>
      </c>
      <c r="Q30" s="94"/>
      <c r="R30" s="82" t="s">
        <v>97</v>
      </c>
      <c r="S30" s="82" t="s">
        <v>97</v>
      </c>
      <c r="T30" s="94"/>
      <c r="U30" s="87">
        <v>4</v>
      </c>
      <c r="V30" s="82">
        <v>0</v>
      </c>
      <c r="W30" s="87">
        <v>0</v>
      </c>
      <c r="X30" s="82" t="s">
        <v>97</v>
      </c>
      <c r="Y30" s="87">
        <v>1</v>
      </c>
      <c r="Z30" s="87">
        <v>1</v>
      </c>
      <c r="AA30" s="82">
        <v>2</v>
      </c>
      <c r="AB30" s="82" t="s">
        <v>97</v>
      </c>
      <c r="AC30" s="82" t="s">
        <v>97</v>
      </c>
      <c r="AD30" s="82" t="s">
        <v>99</v>
      </c>
      <c r="AE30" s="82" t="s">
        <v>110</v>
      </c>
      <c r="AF30" s="20">
        <f t="shared" si="8"/>
        <v>0.66666666666666663</v>
      </c>
      <c r="AG30" s="13">
        <f t="shared" si="1"/>
        <v>3</v>
      </c>
      <c r="AH30" s="7">
        <f t="shared" si="2"/>
        <v>10</v>
      </c>
      <c r="AI30" s="7">
        <f t="shared" si="3"/>
        <v>0</v>
      </c>
      <c r="AJ30" s="7">
        <f t="shared" si="4"/>
        <v>5</v>
      </c>
      <c r="AK30" s="7">
        <f t="shared" si="5"/>
        <v>0</v>
      </c>
      <c r="AL30" s="12">
        <f t="shared" si="9"/>
        <v>18</v>
      </c>
      <c r="AM30" s="14" t="str">
        <f t="shared" si="7"/>
        <v>Potential</v>
      </c>
      <c r="AN30" s="82"/>
      <c r="AO30" s="87"/>
      <c r="AP30" s="82" t="s">
        <v>169</v>
      </c>
    </row>
    <row r="31" spans="1:42" ht="30" x14ac:dyDescent="0.25">
      <c r="A31" s="83">
        <v>45194</v>
      </c>
      <c r="C31" s="82">
        <v>8800072</v>
      </c>
      <c r="D31" s="82" t="s">
        <v>92</v>
      </c>
      <c r="E31" s="84">
        <v>9</v>
      </c>
      <c r="F31" s="85">
        <v>547005.62723667396</v>
      </c>
      <c r="G31" s="85">
        <v>6100116.5421801098</v>
      </c>
      <c r="H31" s="84" t="s">
        <v>134</v>
      </c>
      <c r="I31" s="84" t="s">
        <v>125</v>
      </c>
      <c r="K31" s="84"/>
      <c r="L31" s="82" t="s">
        <v>95</v>
      </c>
      <c r="M31" s="82" t="s">
        <v>127</v>
      </c>
      <c r="N31" s="87">
        <v>4.8</v>
      </c>
      <c r="O31" s="87">
        <v>22</v>
      </c>
      <c r="P31" s="82" t="s">
        <v>97</v>
      </c>
      <c r="Q31" s="94"/>
      <c r="R31" s="82" t="s">
        <v>97</v>
      </c>
      <c r="S31" s="82" t="s">
        <v>97</v>
      </c>
      <c r="T31" s="94"/>
      <c r="U31" s="87">
        <v>0.2</v>
      </c>
      <c r="V31" s="82">
        <v>0.8</v>
      </c>
      <c r="W31" s="87">
        <v>0.8</v>
      </c>
      <c r="X31" s="82" t="s">
        <v>97</v>
      </c>
      <c r="Y31" s="87">
        <v>3</v>
      </c>
      <c r="Z31" s="87">
        <v>6.4</v>
      </c>
      <c r="AA31" s="82">
        <v>6.5</v>
      </c>
      <c r="AB31" s="82" t="s">
        <v>97</v>
      </c>
      <c r="AC31" s="82" t="s">
        <v>98</v>
      </c>
      <c r="AD31" s="82" t="s">
        <v>135</v>
      </c>
      <c r="AE31" s="82" t="s">
        <v>103</v>
      </c>
      <c r="AF31" s="20">
        <f t="shared" si="8"/>
        <v>1.3333333333333335</v>
      </c>
      <c r="AG31" s="13">
        <f t="shared" si="1"/>
        <v>3</v>
      </c>
      <c r="AH31" s="7">
        <f t="shared" si="2"/>
        <v>10</v>
      </c>
      <c r="AI31" s="7">
        <f t="shared" si="3"/>
        <v>10</v>
      </c>
      <c r="AJ31" s="7">
        <f t="shared" si="4"/>
        <v>10</v>
      </c>
      <c r="AK31" s="7">
        <f t="shared" si="5"/>
        <v>6</v>
      </c>
      <c r="AL31" s="12">
        <f t="shared" si="9"/>
        <v>39</v>
      </c>
      <c r="AM31" s="14" t="str">
        <f t="shared" si="7"/>
        <v>Barrier</v>
      </c>
      <c r="AN31" s="82"/>
      <c r="AO31" s="87"/>
      <c r="AP31" s="82" t="s">
        <v>170</v>
      </c>
    </row>
    <row r="32" spans="1:42" x14ac:dyDescent="0.25">
      <c r="A32" s="83">
        <v>45195</v>
      </c>
      <c r="C32" s="82">
        <v>8800026</v>
      </c>
      <c r="D32" s="82" t="s">
        <v>105</v>
      </c>
      <c r="E32" s="84">
        <v>9</v>
      </c>
      <c r="F32" s="85">
        <v>538524.19101007096</v>
      </c>
      <c r="G32" s="85">
        <v>6050851.2396789398</v>
      </c>
      <c r="H32" s="84" t="s">
        <v>136</v>
      </c>
      <c r="I32" s="84" t="s">
        <v>125</v>
      </c>
      <c r="K32" s="84" t="s">
        <v>126</v>
      </c>
      <c r="L32" s="82" t="s">
        <v>95</v>
      </c>
      <c r="M32" s="82" t="s">
        <v>96</v>
      </c>
      <c r="N32" s="87">
        <v>2</v>
      </c>
      <c r="O32" s="87">
        <v>42</v>
      </c>
      <c r="P32" s="82" t="s">
        <v>97</v>
      </c>
      <c r="Q32" s="94"/>
      <c r="R32" s="82" t="s">
        <v>97</v>
      </c>
      <c r="S32" s="82" t="s">
        <v>97</v>
      </c>
      <c r="T32" s="94"/>
      <c r="U32" s="87">
        <v>6</v>
      </c>
      <c r="V32" s="82">
        <v>0.4</v>
      </c>
      <c r="W32" s="87">
        <v>1.2</v>
      </c>
      <c r="X32" s="82" t="s">
        <v>97</v>
      </c>
      <c r="Y32" s="87">
        <v>2.5</v>
      </c>
      <c r="Z32" s="87">
        <v>5.7</v>
      </c>
      <c r="AA32" s="82">
        <v>1</v>
      </c>
      <c r="AB32" s="82" t="s">
        <v>97</v>
      </c>
      <c r="AC32" s="82" t="s">
        <v>98</v>
      </c>
      <c r="AD32" s="82" t="s">
        <v>99</v>
      </c>
      <c r="AE32" s="82" t="s">
        <v>100</v>
      </c>
      <c r="AF32" s="20">
        <f t="shared" si="8"/>
        <v>2.85</v>
      </c>
      <c r="AG32" s="13">
        <f t="shared" si="1"/>
        <v>6</v>
      </c>
      <c r="AH32" s="7">
        <f t="shared" si="2"/>
        <v>10</v>
      </c>
      <c r="AI32" s="7">
        <f t="shared" si="3"/>
        <v>10</v>
      </c>
      <c r="AJ32" s="7">
        <f t="shared" si="4"/>
        <v>5</v>
      </c>
      <c r="AK32" s="7">
        <f t="shared" si="5"/>
        <v>6</v>
      </c>
      <c r="AL32" s="12">
        <f t="shared" si="9"/>
        <v>37</v>
      </c>
      <c r="AM32" s="14" t="str">
        <f t="shared" si="7"/>
        <v>Barrier</v>
      </c>
      <c r="AN32" s="82"/>
      <c r="AO32" s="87"/>
      <c r="AP32" s="82" t="s">
        <v>171</v>
      </c>
    </row>
    <row r="33" spans="1:42" x14ac:dyDescent="0.25">
      <c r="A33" s="83">
        <v>45195</v>
      </c>
      <c r="C33" s="82">
        <v>8800047</v>
      </c>
      <c r="D33" s="82" t="s">
        <v>92</v>
      </c>
      <c r="E33" s="84">
        <v>9</v>
      </c>
      <c r="F33" s="85">
        <v>539057.949232143</v>
      </c>
      <c r="G33" s="85">
        <v>6051847.7271889597</v>
      </c>
      <c r="H33" s="84" t="s">
        <v>136</v>
      </c>
      <c r="I33" s="84" t="s">
        <v>137</v>
      </c>
      <c r="K33" s="84"/>
      <c r="L33" s="82" t="s">
        <v>95</v>
      </c>
      <c r="M33" s="82" t="s">
        <v>96</v>
      </c>
      <c r="N33" s="87">
        <v>3.1</v>
      </c>
      <c r="O33" s="87">
        <v>22</v>
      </c>
      <c r="P33" s="82" t="s">
        <v>97</v>
      </c>
      <c r="Q33" s="94"/>
      <c r="R33" s="82" t="s">
        <v>97</v>
      </c>
      <c r="S33" s="82" t="s">
        <v>97</v>
      </c>
      <c r="T33" s="94"/>
      <c r="U33" s="87">
        <v>1</v>
      </c>
      <c r="V33" s="82">
        <v>0.2</v>
      </c>
      <c r="W33" s="87">
        <v>0.7</v>
      </c>
      <c r="X33" s="82" t="s">
        <v>97</v>
      </c>
      <c r="Y33" s="87">
        <v>3</v>
      </c>
      <c r="Z33" s="87">
        <v>4.5999999999999996</v>
      </c>
      <c r="AA33" s="82">
        <v>2.5</v>
      </c>
      <c r="AB33" s="82" t="s">
        <v>97</v>
      </c>
      <c r="AC33" s="82" t="s">
        <v>97</v>
      </c>
      <c r="AD33" s="82" t="s">
        <v>99</v>
      </c>
      <c r="AE33" s="82" t="s">
        <v>100</v>
      </c>
      <c r="AF33" s="20">
        <f t="shared" si="8"/>
        <v>1.4838709677419353</v>
      </c>
      <c r="AG33" s="13">
        <f t="shared" si="1"/>
        <v>3</v>
      </c>
      <c r="AH33" s="7">
        <f t="shared" si="2"/>
        <v>10</v>
      </c>
      <c r="AI33" s="7">
        <f t="shared" si="3"/>
        <v>5</v>
      </c>
      <c r="AJ33" s="7">
        <f t="shared" si="4"/>
        <v>10</v>
      </c>
      <c r="AK33" s="7">
        <f t="shared" si="5"/>
        <v>6</v>
      </c>
      <c r="AL33" s="12">
        <f t="shared" si="9"/>
        <v>34</v>
      </c>
      <c r="AM33" s="14" t="str">
        <f t="shared" si="7"/>
        <v>Barrier</v>
      </c>
      <c r="AN33" s="82"/>
      <c r="AO33" s="87"/>
      <c r="AP33" s="82" t="s">
        <v>172</v>
      </c>
    </row>
    <row r="34" spans="1:42" x14ac:dyDescent="0.25">
      <c r="A34" s="83">
        <v>45195</v>
      </c>
      <c r="C34" s="82">
        <v>8800056</v>
      </c>
      <c r="D34" s="82" t="s">
        <v>92</v>
      </c>
      <c r="E34" s="84">
        <v>9</v>
      </c>
      <c r="F34" s="85">
        <v>537939.785510874</v>
      </c>
      <c r="G34" s="85">
        <v>6048485.0583103802</v>
      </c>
      <c r="H34" s="84" t="s">
        <v>138</v>
      </c>
      <c r="I34" s="84" t="s">
        <v>125</v>
      </c>
      <c r="K34" s="84"/>
      <c r="L34" s="82" t="s">
        <v>95</v>
      </c>
      <c r="M34" s="82" t="s">
        <v>96</v>
      </c>
      <c r="N34" s="87">
        <v>1</v>
      </c>
      <c r="O34" s="87">
        <v>24</v>
      </c>
      <c r="P34" s="82" t="s">
        <v>97</v>
      </c>
      <c r="Q34" s="94"/>
      <c r="R34" s="82" t="s">
        <v>97</v>
      </c>
      <c r="S34" s="82" t="s">
        <v>97</v>
      </c>
      <c r="T34" s="94"/>
      <c r="U34" s="87">
        <v>5</v>
      </c>
      <c r="V34" s="82">
        <v>1.6</v>
      </c>
      <c r="W34" s="87">
        <v>0.5</v>
      </c>
      <c r="X34" s="82" t="s">
        <v>97</v>
      </c>
      <c r="Y34" s="87">
        <v>4</v>
      </c>
      <c r="Z34" s="87">
        <v>2.1</v>
      </c>
      <c r="AA34" s="82">
        <v>5</v>
      </c>
      <c r="AB34" s="82" t="s">
        <v>97</v>
      </c>
      <c r="AC34" s="82" t="s">
        <v>97</v>
      </c>
      <c r="AD34" s="82" t="s">
        <v>99</v>
      </c>
      <c r="AE34" s="82" t="s">
        <v>103</v>
      </c>
      <c r="AF34" s="20">
        <f t="shared" si="8"/>
        <v>2.1</v>
      </c>
      <c r="AG34" s="13">
        <f t="shared" si="1"/>
        <v>3</v>
      </c>
      <c r="AH34" s="7">
        <f t="shared" si="2"/>
        <v>10</v>
      </c>
      <c r="AI34" s="7">
        <f t="shared" si="3"/>
        <v>10</v>
      </c>
      <c r="AJ34" s="7">
        <f t="shared" si="4"/>
        <v>10</v>
      </c>
      <c r="AK34" s="7">
        <f t="shared" si="5"/>
        <v>6</v>
      </c>
      <c r="AL34" s="12">
        <f t="shared" si="9"/>
        <v>39</v>
      </c>
      <c r="AM34" s="14" t="str">
        <f t="shared" si="7"/>
        <v>Barrier</v>
      </c>
      <c r="AN34" s="82"/>
      <c r="AO34" s="87"/>
      <c r="AP34" s="82" t="s">
        <v>173</v>
      </c>
    </row>
    <row r="35" spans="1:42" x14ac:dyDescent="0.25">
      <c r="A35" s="83">
        <v>45195</v>
      </c>
      <c r="C35" s="82">
        <v>8800070</v>
      </c>
      <c r="D35" s="82" t="s">
        <v>105</v>
      </c>
      <c r="E35" s="84">
        <v>9</v>
      </c>
      <c r="F35" s="85">
        <v>536437.370765956</v>
      </c>
      <c r="G35" s="85">
        <v>6046472.9626003401</v>
      </c>
      <c r="H35" s="84" t="s">
        <v>139</v>
      </c>
      <c r="I35" s="84" t="s">
        <v>125</v>
      </c>
      <c r="K35" s="84" t="s">
        <v>126</v>
      </c>
      <c r="L35" s="82" t="s">
        <v>95</v>
      </c>
      <c r="M35" s="82" t="s">
        <v>96</v>
      </c>
      <c r="N35" s="87">
        <v>2.5</v>
      </c>
      <c r="O35" s="87">
        <v>24</v>
      </c>
      <c r="P35" s="82" t="s">
        <v>97</v>
      </c>
      <c r="Q35" s="94"/>
      <c r="R35" s="82" t="s">
        <v>97</v>
      </c>
      <c r="S35" s="82" t="s">
        <v>97</v>
      </c>
      <c r="T35" s="94"/>
      <c r="U35" s="87">
        <v>1</v>
      </c>
      <c r="V35" s="82">
        <v>1.6</v>
      </c>
      <c r="W35" s="87">
        <v>1.4</v>
      </c>
      <c r="X35" s="82" t="s">
        <v>98</v>
      </c>
      <c r="Y35" s="87">
        <v>1.5</v>
      </c>
      <c r="Z35" s="87">
        <v>5.6</v>
      </c>
      <c r="AA35" s="82">
        <v>6.5</v>
      </c>
      <c r="AB35" s="82" t="s">
        <v>97</v>
      </c>
      <c r="AC35" s="82" t="s">
        <v>97</v>
      </c>
      <c r="AD35" s="82" t="s">
        <v>99</v>
      </c>
      <c r="AE35" s="82" t="s">
        <v>100</v>
      </c>
      <c r="AF35" s="20">
        <f t="shared" si="8"/>
        <v>2.2399999999999998</v>
      </c>
      <c r="AG35" s="13">
        <f t="shared" si="1"/>
        <v>3</v>
      </c>
      <c r="AH35" s="7">
        <f t="shared" si="2"/>
        <v>10</v>
      </c>
      <c r="AI35" s="7">
        <f t="shared" si="3"/>
        <v>10</v>
      </c>
      <c r="AJ35" s="7">
        <f t="shared" si="4"/>
        <v>5</v>
      </c>
      <c r="AK35" s="7">
        <f t="shared" si="5"/>
        <v>6</v>
      </c>
      <c r="AL35" s="12">
        <f t="shared" si="9"/>
        <v>34</v>
      </c>
      <c r="AM35" s="14" t="str">
        <f t="shared" si="7"/>
        <v>Barrier</v>
      </c>
      <c r="AN35" s="82"/>
      <c r="AO35" s="87"/>
      <c r="AP35" s="82" t="s">
        <v>174</v>
      </c>
    </row>
    <row r="36" spans="1:42" x14ac:dyDescent="0.25">
      <c r="A36" s="83">
        <v>45195</v>
      </c>
      <c r="C36" s="82">
        <v>8800076</v>
      </c>
      <c r="D36" s="82" t="s">
        <v>92</v>
      </c>
      <c r="E36" s="84">
        <v>9</v>
      </c>
      <c r="F36" s="85">
        <v>538963.86758129997</v>
      </c>
      <c r="G36" s="85">
        <v>6089976.4771021605</v>
      </c>
      <c r="H36" s="84" t="s">
        <v>140</v>
      </c>
      <c r="I36" s="84" t="s">
        <v>125</v>
      </c>
      <c r="K36" s="84"/>
      <c r="L36" s="82" t="s">
        <v>95</v>
      </c>
      <c r="M36" s="82" t="s">
        <v>96</v>
      </c>
      <c r="N36" s="87">
        <v>5</v>
      </c>
      <c r="O36" s="87">
        <v>34</v>
      </c>
      <c r="P36" s="82" t="s">
        <v>97</v>
      </c>
      <c r="Q36" s="94"/>
      <c r="R36" s="82" t="s">
        <v>97</v>
      </c>
      <c r="S36" s="82" t="s">
        <v>97</v>
      </c>
      <c r="T36" s="94"/>
      <c r="U36" s="87">
        <v>8</v>
      </c>
      <c r="V36" s="82">
        <v>0</v>
      </c>
      <c r="W36" s="87">
        <v>0.3</v>
      </c>
      <c r="X36" s="82" t="s">
        <v>97</v>
      </c>
      <c r="Y36" s="87">
        <v>6</v>
      </c>
      <c r="Z36" s="87">
        <v>6.8</v>
      </c>
      <c r="AA36" s="82">
        <v>5</v>
      </c>
      <c r="AB36" s="82" t="s">
        <v>97</v>
      </c>
      <c r="AC36" s="82" t="s">
        <v>97</v>
      </c>
      <c r="AD36" s="82" t="s">
        <v>99</v>
      </c>
      <c r="AE36" s="82" t="s">
        <v>100</v>
      </c>
      <c r="AF36" s="20">
        <f t="shared" si="8"/>
        <v>1.3599999999999999</v>
      </c>
      <c r="AG36" s="13">
        <f t="shared" si="1"/>
        <v>6</v>
      </c>
      <c r="AH36" s="7">
        <f t="shared" si="2"/>
        <v>10</v>
      </c>
      <c r="AI36" s="7">
        <f t="shared" si="3"/>
        <v>0</v>
      </c>
      <c r="AJ36" s="7">
        <f t="shared" si="4"/>
        <v>10</v>
      </c>
      <c r="AK36" s="7">
        <f t="shared" si="5"/>
        <v>6</v>
      </c>
      <c r="AL36" s="12">
        <f t="shared" si="9"/>
        <v>32</v>
      </c>
      <c r="AM36" s="14" t="str">
        <f t="shared" si="7"/>
        <v>Barrier</v>
      </c>
      <c r="AN36" s="82"/>
      <c r="AO36" s="87"/>
      <c r="AP36" s="82" t="s">
        <v>175</v>
      </c>
    </row>
    <row r="37" spans="1:42" ht="30" x14ac:dyDescent="0.25">
      <c r="A37" s="83">
        <v>45195</v>
      </c>
      <c r="C37" s="82">
        <v>8800130</v>
      </c>
      <c r="D37" s="82" t="s">
        <v>92</v>
      </c>
      <c r="E37" s="84">
        <v>9</v>
      </c>
      <c r="F37" s="85">
        <v>541520.35971829097</v>
      </c>
      <c r="G37" s="85">
        <v>6058092.0828645704</v>
      </c>
      <c r="H37" s="84" t="s">
        <v>121</v>
      </c>
      <c r="I37" s="84" t="s">
        <v>125</v>
      </c>
      <c r="K37" s="84"/>
      <c r="L37" s="82" t="s">
        <v>95</v>
      </c>
      <c r="M37" s="82" t="s">
        <v>96</v>
      </c>
      <c r="N37" s="87">
        <v>0.9</v>
      </c>
      <c r="O37" s="87">
        <v>42</v>
      </c>
      <c r="P37" s="82" t="s">
        <v>97</v>
      </c>
      <c r="Q37" s="94"/>
      <c r="R37" s="82" t="s">
        <v>97</v>
      </c>
      <c r="S37" s="82" t="s">
        <v>97</v>
      </c>
      <c r="T37" s="94"/>
      <c r="U37" s="87">
        <v>8</v>
      </c>
      <c r="V37" s="82">
        <v>1</v>
      </c>
      <c r="W37" s="87">
        <v>0</v>
      </c>
      <c r="X37" s="82" t="s">
        <v>98</v>
      </c>
      <c r="Y37" s="87">
        <v>1</v>
      </c>
      <c r="Z37" s="87">
        <v>1.6</v>
      </c>
      <c r="AA37" s="82">
        <v>1</v>
      </c>
      <c r="AB37" s="82" t="s">
        <v>97</v>
      </c>
      <c r="AC37" s="82" t="s">
        <v>97</v>
      </c>
      <c r="AD37" s="82" t="s">
        <v>99</v>
      </c>
      <c r="AE37" s="82" t="s">
        <v>110</v>
      </c>
      <c r="AF37" s="20">
        <f t="shared" si="8"/>
        <v>1.7777777777777779</v>
      </c>
      <c r="AG37" s="13">
        <f t="shared" si="1"/>
        <v>6</v>
      </c>
      <c r="AH37" s="7">
        <f t="shared" si="2"/>
        <v>10</v>
      </c>
      <c r="AI37" s="7">
        <f t="shared" si="3"/>
        <v>10</v>
      </c>
      <c r="AJ37" s="7">
        <f t="shared" si="4"/>
        <v>5</v>
      </c>
      <c r="AK37" s="7">
        <f t="shared" si="5"/>
        <v>6</v>
      </c>
      <c r="AL37" s="12">
        <f t="shared" si="9"/>
        <v>37</v>
      </c>
      <c r="AM37" s="14" t="str">
        <f t="shared" si="7"/>
        <v>Barrier</v>
      </c>
      <c r="AN37" s="82"/>
      <c r="AO37" s="87"/>
      <c r="AP37" s="82" t="s">
        <v>176</v>
      </c>
    </row>
    <row r="38" spans="1:42" ht="30" x14ac:dyDescent="0.25">
      <c r="A38" s="83">
        <v>45195</v>
      </c>
      <c r="C38" s="82">
        <v>8800140</v>
      </c>
      <c r="D38" s="82" t="s">
        <v>105</v>
      </c>
      <c r="E38" s="84">
        <v>9</v>
      </c>
      <c r="F38" s="85">
        <v>545406.66850222298</v>
      </c>
      <c r="G38" s="85">
        <v>6075537.5548022101</v>
      </c>
      <c r="H38" s="84" t="s">
        <v>134</v>
      </c>
      <c r="I38" s="84" t="s">
        <v>125</v>
      </c>
      <c r="K38" s="84" t="s">
        <v>126</v>
      </c>
      <c r="L38" s="82" t="s">
        <v>95</v>
      </c>
      <c r="M38" s="82" t="s">
        <v>96</v>
      </c>
      <c r="N38" s="87">
        <v>1.5</v>
      </c>
      <c r="O38" s="87">
        <v>24</v>
      </c>
      <c r="P38" s="82" t="s">
        <v>97</v>
      </c>
      <c r="Q38" s="94"/>
      <c r="R38" s="82" t="s">
        <v>97</v>
      </c>
      <c r="S38" s="82" t="s">
        <v>97</v>
      </c>
      <c r="T38" s="94"/>
      <c r="U38" s="87">
        <v>1.7</v>
      </c>
      <c r="V38" s="82">
        <v>0</v>
      </c>
      <c r="W38" s="87">
        <v>0</v>
      </c>
      <c r="X38" s="82" t="s">
        <v>97</v>
      </c>
      <c r="Y38" s="87">
        <v>0</v>
      </c>
      <c r="Z38" s="87">
        <v>8</v>
      </c>
      <c r="AA38" s="82">
        <v>0</v>
      </c>
      <c r="AB38" s="82" t="s">
        <v>98</v>
      </c>
      <c r="AC38" s="82" t="s">
        <v>97</v>
      </c>
      <c r="AD38" s="82" t="s">
        <v>99</v>
      </c>
      <c r="AE38" s="82" t="s">
        <v>110</v>
      </c>
      <c r="AF38" s="20">
        <f t="shared" si="8"/>
        <v>5.333333333333333</v>
      </c>
      <c r="AG38" s="13">
        <f t="shared" si="1"/>
        <v>3</v>
      </c>
      <c r="AH38" s="7">
        <f t="shared" si="2"/>
        <v>10</v>
      </c>
      <c r="AI38" s="7">
        <f t="shared" si="3"/>
        <v>0</v>
      </c>
      <c r="AJ38" s="7">
        <f t="shared" si="4"/>
        <v>0</v>
      </c>
      <c r="AK38" s="7">
        <f t="shared" si="5"/>
        <v>6</v>
      </c>
      <c r="AL38" s="12">
        <f t="shared" si="9"/>
        <v>19</v>
      </c>
      <c r="AM38" s="14" t="str">
        <f t="shared" si="7"/>
        <v>Potential</v>
      </c>
      <c r="AN38" s="82"/>
      <c r="AO38" s="87"/>
      <c r="AP38" s="82" t="s">
        <v>177</v>
      </c>
    </row>
    <row r="39" spans="1:42" ht="30" x14ac:dyDescent="0.25">
      <c r="A39" s="83">
        <v>45195</v>
      </c>
      <c r="C39" s="82">
        <v>8800144</v>
      </c>
      <c r="D39" s="82" t="s">
        <v>92</v>
      </c>
      <c r="E39" s="84">
        <v>9</v>
      </c>
      <c r="F39" s="85">
        <v>542400.74199158198</v>
      </c>
      <c r="G39" s="85">
        <v>6078903.6098027704</v>
      </c>
      <c r="H39" s="84" t="s">
        <v>121</v>
      </c>
      <c r="I39" s="84" t="s">
        <v>125</v>
      </c>
      <c r="K39" s="84"/>
      <c r="L39" s="82" t="s">
        <v>95</v>
      </c>
      <c r="M39" s="82" t="s">
        <v>96</v>
      </c>
      <c r="N39" s="87">
        <v>0.6</v>
      </c>
      <c r="O39" s="87">
        <v>18</v>
      </c>
      <c r="P39" s="82" t="s">
        <v>97</v>
      </c>
      <c r="Q39" s="94"/>
      <c r="R39" s="82" t="s">
        <v>97</v>
      </c>
      <c r="S39" s="82" t="s">
        <v>97</v>
      </c>
      <c r="T39" s="94"/>
      <c r="U39" s="87">
        <v>1</v>
      </c>
      <c r="V39" s="82">
        <v>0</v>
      </c>
      <c r="W39" s="87">
        <v>0</v>
      </c>
      <c r="X39" s="82" t="s">
        <v>97</v>
      </c>
      <c r="Y39" s="87">
        <v>2</v>
      </c>
      <c r="Z39" s="87">
        <v>0.6</v>
      </c>
      <c r="AA39" s="82">
        <v>2</v>
      </c>
      <c r="AB39" s="82" t="s">
        <v>97</v>
      </c>
      <c r="AC39" s="82" t="s">
        <v>97</v>
      </c>
      <c r="AD39" s="82" t="s">
        <v>99</v>
      </c>
      <c r="AE39" s="82" t="s">
        <v>110</v>
      </c>
      <c r="AF39" s="20">
        <f t="shared" si="8"/>
        <v>1</v>
      </c>
      <c r="AG39" s="13">
        <f t="shared" si="1"/>
        <v>3</v>
      </c>
      <c r="AH39" s="7">
        <f t="shared" si="2"/>
        <v>10</v>
      </c>
      <c r="AI39" s="7">
        <f t="shared" si="3"/>
        <v>0</v>
      </c>
      <c r="AJ39" s="7">
        <f t="shared" si="4"/>
        <v>5</v>
      </c>
      <c r="AK39" s="7">
        <f t="shared" si="5"/>
        <v>3</v>
      </c>
      <c r="AL39" s="12">
        <f t="shared" si="9"/>
        <v>21</v>
      </c>
      <c r="AM39" s="14" t="str">
        <f t="shared" si="7"/>
        <v>Barrier</v>
      </c>
      <c r="AN39" s="82"/>
      <c r="AO39" s="87"/>
      <c r="AP39" s="82" t="s">
        <v>178</v>
      </c>
    </row>
    <row r="40" spans="1:42" ht="30" x14ac:dyDescent="0.25">
      <c r="A40" s="83">
        <v>45195</v>
      </c>
      <c r="C40" s="82">
        <v>8800149</v>
      </c>
      <c r="D40" s="82" t="s">
        <v>105</v>
      </c>
      <c r="E40" s="84">
        <v>9</v>
      </c>
      <c r="F40" s="85">
        <v>539718.69604162301</v>
      </c>
      <c r="G40" s="85">
        <v>6083273.5060739098</v>
      </c>
      <c r="H40" s="84" t="s">
        <v>121</v>
      </c>
      <c r="I40" s="84" t="s">
        <v>125</v>
      </c>
      <c r="K40" s="84" t="s">
        <v>126</v>
      </c>
      <c r="L40" s="82" t="s">
        <v>95</v>
      </c>
      <c r="M40" s="82" t="s">
        <v>96</v>
      </c>
      <c r="N40" s="87">
        <v>3.5</v>
      </c>
      <c r="O40" s="87">
        <v>35</v>
      </c>
      <c r="P40" s="82" t="s">
        <v>97</v>
      </c>
      <c r="Q40" s="94"/>
      <c r="R40" s="82" t="s">
        <v>97</v>
      </c>
      <c r="S40" s="82" t="s">
        <v>97</v>
      </c>
      <c r="T40" s="94"/>
      <c r="U40" s="87">
        <v>4</v>
      </c>
      <c r="V40" s="82">
        <v>0</v>
      </c>
      <c r="W40" s="87">
        <v>1.4</v>
      </c>
      <c r="X40" s="82" t="s">
        <v>97</v>
      </c>
      <c r="Y40" s="87">
        <v>14</v>
      </c>
      <c r="Z40" s="87">
        <v>10</v>
      </c>
      <c r="AA40" s="82">
        <v>10</v>
      </c>
      <c r="AB40" s="82" t="s">
        <v>97</v>
      </c>
      <c r="AC40" s="82" t="s">
        <v>97</v>
      </c>
      <c r="AD40" s="82" t="s">
        <v>141</v>
      </c>
      <c r="AE40" s="82" t="s">
        <v>103</v>
      </c>
      <c r="AF40" s="20">
        <f t="shared" si="8"/>
        <v>2.8571428571428572</v>
      </c>
      <c r="AG40" s="13">
        <f t="shared" si="1"/>
        <v>6</v>
      </c>
      <c r="AH40" s="7">
        <f t="shared" si="2"/>
        <v>10</v>
      </c>
      <c r="AI40" s="7">
        <f t="shared" si="3"/>
        <v>0</v>
      </c>
      <c r="AJ40" s="7">
        <f t="shared" si="4"/>
        <v>10</v>
      </c>
      <c r="AK40" s="7">
        <f t="shared" si="5"/>
        <v>6</v>
      </c>
      <c r="AL40" s="12">
        <f t="shared" si="9"/>
        <v>32</v>
      </c>
      <c r="AM40" s="14" t="str">
        <f t="shared" si="7"/>
        <v>Barrier</v>
      </c>
      <c r="AN40" s="82"/>
      <c r="AO40" s="87"/>
      <c r="AP40" s="82" t="s">
        <v>179</v>
      </c>
    </row>
    <row r="41" spans="1:42" ht="30" x14ac:dyDescent="0.25">
      <c r="A41" s="83">
        <v>45195</v>
      </c>
      <c r="C41" s="82">
        <v>8801343</v>
      </c>
      <c r="D41" s="82" t="s">
        <v>105</v>
      </c>
      <c r="E41" s="84">
        <v>9</v>
      </c>
      <c r="F41" s="85">
        <v>547469.35502102401</v>
      </c>
      <c r="G41" s="85">
        <v>6066332.3278711801</v>
      </c>
      <c r="H41" s="84" t="s">
        <v>121</v>
      </c>
      <c r="I41" s="84" t="s">
        <v>125</v>
      </c>
      <c r="K41" s="84" t="s">
        <v>126</v>
      </c>
      <c r="L41" s="82" t="s">
        <v>95</v>
      </c>
      <c r="M41" s="82" t="s">
        <v>96</v>
      </c>
      <c r="N41" s="87">
        <v>0.6</v>
      </c>
      <c r="O41" s="87">
        <v>20</v>
      </c>
      <c r="P41" s="82" t="s">
        <v>98</v>
      </c>
      <c r="Q41" s="87">
        <v>0.2</v>
      </c>
      <c r="R41" s="82" t="s">
        <v>98</v>
      </c>
      <c r="S41" s="82" t="s">
        <v>98</v>
      </c>
      <c r="T41" s="87">
        <v>50</v>
      </c>
      <c r="U41" s="87">
        <v>1.5</v>
      </c>
      <c r="V41" s="82">
        <v>0</v>
      </c>
      <c r="W41" s="87">
        <v>0.25</v>
      </c>
      <c r="X41" s="82" t="s">
        <v>98</v>
      </c>
      <c r="Y41" s="87">
        <v>1</v>
      </c>
      <c r="Z41" s="87">
        <v>1.7</v>
      </c>
      <c r="AA41" s="82">
        <v>1</v>
      </c>
      <c r="AB41" s="82" t="s">
        <v>98</v>
      </c>
      <c r="AC41" s="82" t="s">
        <v>97</v>
      </c>
      <c r="AD41" s="82" t="s">
        <v>99</v>
      </c>
      <c r="AE41" s="82" t="s">
        <v>110</v>
      </c>
      <c r="AF41" s="20">
        <f t="shared" si="8"/>
        <v>2.8333333333333335</v>
      </c>
      <c r="AG41" s="13">
        <f t="shared" si="1"/>
        <v>3</v>
      </c>
      <c r="AH41" s="7">
        <f t="shared" si="2"/>
        <v>5</v>
      </c>
      <c r="AI41" s="7">
        <f t="shared" si="3"/>
        <v>0</v>
      </c>
      <c r="AJ41" s="7">
        <f t="shared" si="4"/>
        <v>5</v>
      </c>
      <c r="AK41" s="7">
        <f t="shared" si="5"/>
        <v>6</v>
      </c>
      <c r="AL41" s="12">
        <f t="shared" si="9"/>
        <v>19</v>
      </c>
      <c r="AM41" s="14" t="str">
        <f t="shared" si="7"/>
        <v>Potential</v>
      </c>
      <c r="AN41" s="82"/>
      <c r="AO41" s="87"/>
      <c r="AP41" s="82" t="s">
        <v>180</v>
      </c>
    </row>
    <row r="42" spans="1:42" ht="30" x14ac:dyDescent="0.25">
      <c r="A42" s="83">
        <v>45195</v>
      </c>
      <c r="C42" s="82">
        <v>8801347</v>
      </c>
      <c r="D42" s="82" t="s">
        <v>105</v>
      </c>
      <c r="E42" s="84">
        <v>9</v>
      </c>
      <c r="F42" s="85">
        <v>547267.59653025097</v>
      </c>
      <c r="G42" s="85">
        <v>6066036.2122888304</v>
      </c>
      <c r="H42" s="84" t="s">
        <v>121</v>
      </c>
      <c r="I42" s="84" t="s">
        <v>125</v>
      </c>
      <c r="K42" s="84" t="s">
        <v>126</v>
      </c>
      <c r="L42" s="82" t="s">
        <v>95</v>
      </c>
      <c r="M42" s="82" t="s">
        <v>96</v>
      </c>
      <c r="N42" s="87">
        <v>1</v>
      </c>
      <c r="O42" s="87">
        <v>27</v>
      </c>
      <c r="P42" s="82" t="s">
        <v>98</v>
      </c>
      <c r="Q42" s="87">
        <v>0.4</v>
      </c>
      <c r="R42" s="82" t="s">
        <v>98</v>
      </c>
      <c r="S42" s="82" t="s">
        <v>98</v>
      </c>
      <c r="T42" s="87">
        <v>70</v>
      </c>
      <c r="U42" s="87">
        <v>3.7</v>
      </c>
      <c r="V42" s="82">
        <v>0</v>
      </c>
      <c r="W42" s="87">
        <v>0.25</v>
      </c>
      <c r="X42" s="82" t="s">
        <v>98</v>
      </c>
      <c r="Y42" s="87">
        <v>1.5</v>
      </c>
      <c r="Z42" s="87">
        <v>2.8</v>
      </c>
      <c r="AA42" s="82">
        <v>2</v>
      </c>
      <c r="AB42" s="82" t="s">
        <v>98</v>
      </c>
      <c r="AC42" s="82" t="s">
        <v>98</v>
      </c>
      <c r="AD42" s="82" t="s">
        <v>99</v>
      </c>
      <c r="AE42" s="82" t="s">
        <v>103</v>
      </c>
      <c r="AF42" s="20">
        <f t="shared" si="8"/>
        <v>2.8</v>
      </c>
      <c r="AG42" s="13">
        <f t="shared" si="1"/>
        <v>3</v>
      </c>
      <c r="AH42" s="7">
        <f t="shared" si="2"/>
        <v>0</v>
      </c>
      <c r="AI42" s="7">
        <f t="shared" si="3"/>
        <v>0</v>
      </c>
      <c r="AJ42" s="7">
        <f t="shared" si="4"/>
        <v>5</v>
      </c>
      <c r="AK42" s="7">
        <f t="shared" si="5"/>
        <v>6</v>
      </c>
      <c r="AL42" s="12">
        <f t="shared" si="9"/>
        <v>14</v>
      </c>
      <c r="AM42" s="14" t="str">
        <f t="shared" si="7"/>
        <v>Passable</v>
      </c>
      <c r="AN42" s="82"/>
      <c r="AO42" s="87"/>
      <c r="AP42" s="82" t="s">
        <v>181</v>
      </c>
    </row>
    <row r="43" spans="1:42" ht="30" x14ac:dyDescent="0.25">
      <c r="A43" s="83">
        <v>45195</v>
      </c>
      <c r="C43" s="82">
        <v>8801379</v>
      </c>
      <c r="D43" s="82" t="s">
        <v>92</v>
      </c>
      <c r="E43" s="84">
        <v>9</v>
      </c>
      <c r="F43" s="85">
        <v>538709.22047036595</v>
      </c>
      <c r="G43" s="85">
        <v>6054565.8142962595</v>
      </c>
      <c r="H43" s="84" t="s">
        <v>121</v>
      </c>
      <c r="I43" s="84" t="s">
        <v>125</v>
      </c>
      <c r="K43" s="84"/>
      <c r="L43" s="82" t="s">
        <v>95</v>
      </c>
      <c r="M43" s="82" t="s">
        <v>96</v>
      </c>
      <c r="N43" s="87">
        <v>1.5</v>
      </c>
      <c r="O43" s="87">
        <v>30</v>
      </c>
      <c r="P43" s="82" t="s">
        <v>97</v>
      </c>
      <c r="Q43" s="94"/>
      <c r="R43" s="82" t="s">
        <v>97</v>
      </c>
      <c r="S43" s="82" t="s">
        <v>97</v>
      </c>
      <c r="T43" s="94"/>
      <c r="U43" s="87">
        <v>4</v>
      </c>
      <c r="V43" s="82">
        <v>0.2</v>
      </c>
      <c r="W43" s="87">
        <v>0</v>
      </c>
      <c r="X43" s="82" t="s">
        <v>97</v>
      </c>
      <c r="Y43" s="87">
        <v>1</v>
      </c>
      <c r="Z43" s="87">
        <v>6.8</v>
      </c>
      <c r="AA43" s="82">
        <v>1</v>
      </c>
      <c r="AB43" s="82" t="s">
        <v>97</v>
      </c>
      <c r="AC43" s="82" t="s">
        <v>97</v>
      </c>
      <c r="AD43" s="82" t="s">
        <v>99</v>
      </c>
      <c r="AE43" s="82" t="s">
        <v>110</v>
      </c>
      <c r="AF43" s="20">
        <f t="shared" si="8"/>
        <v>4.5333333333333332</v>
      </c>
      <c r="AG43" s="13">
        <f t="shared" si="1"/>
        <v>6</v>
      </c>
      <c r="AH43" s="7">
        <f t="shared" si="2"/>
        <v>10</v>
      </c>
      <c r="AI43" s="7">
        <f t="shared" si="3"/>
        <v>5</v>
      </c>
      <c r="AJ43" s="7">
        <f t="shared" si="4"/>
        <v>5</v>
      </c>
      <c r="AK43" s="7">
        <f t="shared" si="5"/>
        <v>6</v>
      </c>
      <c r="AL43" s="12">
        <f t="shared" si="9"/>
        <v>32</v>
      </c>
      <c r="AM43" s="14" t="str">
        <f t="shared" si="7"/>
        <v>Barrier</v>
      </c>
      <c r="AN43" s="82"/>
      <c r="AO43" s="87"/>
      <c r="AP43" s="82" t="s">
        <v>182</v>
      </c>
    </row>
    <row r="44" spans="1:42" ht="30" x14ac:dyDescent="0.25">
      <c r="A44" s="83">
        <v>45195</v>
      </c>
      <c r="C44" s="82">
        <v>8801406</v>
      </c>
      <c r="D44" s="82" t="s">
        <v>105</v>
      </c>
      <c r="E44" s="84">
        <v>9</v>
      </c>
      <c r="F44" s="85">
        <v>547755.61633720703</v>
      </c>
      <c r="G44" s="85">
        <v>6068480.2340942603</v>
      </c>
      <c r="H44" s="84" t="s">
        <v>134</v>
      </c>
      <c r="I44" s="84" t="s">
        <v>125</v>
      </c>
      <c r="K44" s="84" t="s">
        <v>126</v>
      </c>
      <c r="L44" s="82" t="s">
        <v>95</v>
      </c>
      <c r="M44" s="82" t="s">
        <v>96</v>
      </c>
      <c r="N44" s="87">
        <v>0.9</v>
      </c>
      <c r="O44" s="87">
        <v>21</v>
      </c>
      <c r="P44" s="82" t="s">
        <v>97</v>
      </c>
      <c r="Q44" s="94"/>
      <c r="R44" s="82" t="s">
        <v>97</v>
      </c>
      <c r="S44" s="82" t="s">
        <v>97</v>
      </c>
      <c r="T44" s="94"/>
      <c r="U44" s="87">
        <v>2.5</v>
      </c>
      <c r="V44" s="82">
        <v>0.9</v>
      </c>
      <c r="W44" s="87">
        <v>0.2</v>
      </c>
      <c r="X44" s="82" t="s">
        <v>97</v>
      </c>
      <c r="Y44" s="87">
        <v>8</v>
      </c>
      <c r="Z44" s="87">
        <v>1.5</v>
      </c>
      <c r="AA44" s="82">
        <v>8.5</v>
      </c>
      <c r="AB44" s="82" t="s">
        <v>97</v>
      </c>
      <c r="AC44" s="82" t="s">
        <v>97</v>
      </c>
      <c r="AD44" s="82" t="s">
        <v>99</v>
      </c>
      <c r="AE44" s="82" t="s">
        <v>103</v>
      </c>
      <c r="AF44" s="20">
        <f t="shared" si="8"/>
        <v>1.6666666666666665</v>
      </c>
      <c r="AG44" s="13">
        <f t="shared" si="1"/>
        <v>3</v>
      </c>
      <c r="AH44" s="7">
        <f t="shared" si="2"/>
        <v>10</v>
      </c>
      <c r="AI44" s="7">
        <f t="shared" si="3"/>
        <v>10</v>
      </c>
      <c r="AJ44" s="7">
        <f t="shared" si="4"/>
        <v>10</v>
      </c>
      <c r="AK44" s="7">
        <f t="shared" si="5"/>
        <v>6</v>
      </c>
      <c r="AL44" s="12">
        <f t="shared" si="9"/>
        <v>39</v>
      </c>
      <c r="AM44" s="14" t="str">
        <f t="shared" si="7"/>
        <v>Barrier</v>
      </c>
      <c r="AN44" s="82"/>
      <c r="AO44" s="87"/>
      <c r="AP44" s="82" t="s">
        <v>183</v>
      </c>
    </row>
    <row r="45" spans="1:42" ht="30" x14ac:dyDescent="0.25">
      <c r="A45" s="83">
        <v>45195</v>
      </c>
      <c r="C45" s="82">
        <v>8801409</v>
      </c>
      <c r="D45" s="82" t="s">
        <v>92</v>
      </c>
      <c r="E45" s="84">
        <v>9</v>
      </c>
      <c r="F45" s="85">
        <v>547606.17810095497</v>
      </c>
      <c r="G45" s="85">
        <v>6069846.8312307596</v>
      </c>
      <c r="H45" s="84" t="s">
        <v>121</v>
      </c>
      <c r="I45" s="84" t="s">
        <v>125</v>
      </c>
      <c r="K45" s="84"/>
      <c r="L45" s="82" t="s">
        <v>95</v>
      </c>
      <c r="M45" s="82" t="s">
        <v>96</v>
      </c>
      <c r="N45" s="87">
        <v>1.5</v>
      </c>
      <c r="O45" s="87">
        <v>40</v>
      </c>
      <c r="P45" s="82" t="s">
        <v>97</v>
      </c>
      <c r="Q45" s="94"/>
      <c r="R45" s="82" t="s">
        <v>97</v>
      </c>
      <c r="S45" s="82" t="s">
        <v>97</v>
      </c>
      <c r="T45" s="94"/>
      <c r="U45" s="87">
        <v>3</v>
      </c>
      <c r="V45" s="82">
        <v>2.2000000000000002</v>
      </c>
      <c r="W45" s="87">
        <v>0.3</v>
      </c>
      <c r="X45" s="82" t="s">
        <v>97</v>
      </c>
      <c r="Y45" s="87">
        <v>4</v>
      </c>
      <c r="Z45" s="87">
        <v>2.7</v>
      </c>
      <c r="AA45" s="82">
        <v>18</v>
      </c>
      <c r="AB45" s="82" t="s">
        <v>97</v>
      </c>
      <c r="AC45" s="82" t="s">
        <v>97</v>
      </c>
      <c r="AD45" s="82" t="s">
        <v>99</v>
      </c>
      <c r="AE45" s="82" t="s">
        <v>103</v>
      </c>
      <c r="AF45" s="20">
        <f t="shared" si="8"/>
        <v>1.8</v>
      </c>
      <c r="AG45" s="13">
        <f t="shared" si="1"/>
        <v>6</v>
      </c>
      <c r="AH45" s="7">
        <f t="shared" si="2"/>
        <v>10</v>
      </c>
      <c r="AI45" s="7">
        <f t="shared" si="3"/>
        <v>10</v>
      </c>
      <c r="AJ45" s="7">
        <f t="shared" si="4"/>
        <v>10</v>
      </c>
      <c r="AK45" s="7">
        <f t="shared" si="5"/>
        <v>6</v>
      </c>
      <c r="AL45" s="12">
        <f t="shared" si="9"/>
        <v>42</v>
      </c>
      <c r="AM45" s="14" t="str">
        <f t="shared" si="7"/>
        <v>Barrier</v>
      </c>
      <c r="AN45" s="82"/>
      <c r="AO45" s="87"/>
      <c r="AP45" s="82" t="s">
        <v>184</v>
      </c>
    </row>
    <row r="46" spans="1:42" x14ac:dyDescent="0.25">
      <c r="A46" s="83">
        <v>45195</v>
      </c>
      <c r="C46" s="82">
        <v>8801991</v>
      </c>
      <c r="D46" s="82" t="s">
        <v>105</v>
      </c>
      <c r="E46" s="84">
        <v>9</v>
      </c>
      <c r="F46" s="85">
        <v>536543.78453168005</v>
      </c>
      <c r="G46" s="85">
        <v>6046276.3078547698</v>
      </c>
      <c r="H46" s="84" t="s">
        <v>139</v>
      </c>
      <c r="I46" s="84" t="s">
        <v>94</v>
      </c>
      <c r="K46" s="84"/>
      <c r="L46" s="82" t="s">
        <v>111</v>
      </c>
      <c r="M46" s="82"/>
      <c r="N46" s="94"/>
      <c r="O46" s="94"/>
      <c r="P46" s="93"/>
      <c r="Q46" s="94"/>
      <c r="R46" s="93"/>
      <c r="S46" s="93"/>
      <c r="T46" s="94"/>
      <c r="U46" s="94"/>
      <c r="V46" s="93"/>
      <c r="W46" s="94"/>
      <c r="X46" s="93"/>
      <c r="Y46" s="94"/>
      <c r="Z46" s="94"/>
      <c r="AA46" s="93"/>
      <c r="AB46" s="82" t="s">
        <v>97</v>
      </c>
      <c r="AC46" s="82" t="s">
        <v>97</v>
      </c>
      <c r="AD46" s="93"/>
      <c r="AE46" s="93"/>
      <c r="AF46" s="20">
        <f t="shared" si="8"/>
        <v>0</v>
      </c>
      <c r="AG46" s="13">
        <f t="shared" si="1"/>
        <v>0</v>
      </c>
      <c r="AH46" s="7">
        <f t="shared" si="2"/>
        <v>0</v>
      </c>
      <c r="AI46" s="7">
        <f t="shared" si="3"/>
        <v>0</v>
      </c>
      <c r="AJ46" s="7">
        <f t="shared" si="4"/>
        <v>0</v>
      </c>
      <c r="AK46" s="7">
        <f t="shared" si="5"/>
        <v>0</v>
      </c>
      <c r="AL46" s="12">
        <f t="shared" si="9"/>
        <v>0</v>
      </c>
      <c r="AM46" s="14" t="str">
        <f t="shared" si="7"/>
        <v>Unknown</v>
      </c>
      <c r="AN46" s="93"/>
      <c r="AO46" s="94"/>
      <c r="AP46" s="82" t="s">
        <v>185</v>
      </c>
    </row>
    <row r="47" spans="1:42" ht="30" x14ac:dyDescent="0.25">
      <c r="A47" s="83">
        <v>45196</v>
      </c>
      <c r="C47" s="82">
        <v>2023092701</v>
      </c>
      <c r="D47" s="82" t="s">
        <v>92</v>
      </c>
      <c r="E47" s="84">
        <v>9</v>
      </c>
      <c r="F47" s="85">
        <v>614784.31697045104</v>
      </c>
      <c r="G47" s="85">
        <v>6010127.8275070302</v>
      </c>
      <c r="H47" s="84" t="s">
        <v>142</v>
      </c>
      <c r="I47" s="84" t="s">
        <v>143</v>
      </c>
      <c r="K47" s="84"/>
      <c r="L47" s="82" t="s">
        <v>95</v>
      </c>
      <c r="M47" s="82" t="s">
        <v>96</v>
      </c>
      <c r="N47" s="87">
        <v>1</v>
      </c>
      <c r="O47" s="87">
        <v>14</v>
      </c>
      <c r="P47" s="82" t="s">
        <v>97</v>
      </c>
      <c r="Q47" s="94"/>
      <c r="R47" s="82" t="s">
        <v>97</v>
      </c>
      <c r="S47" s="82" t="s">
        <v>97</v>
      </c>
      <c r="T47" s="94"/>
      <c r="U47" s="87">
        <v>1</v>
      </c>
      <c r="V47" s="82">
        <v>0.3</v>
      </c>
      <c r="W47" s="87">
        <v>0.8</v>
      </c>
      <c r="X47" s="82" t="s">
        <v>98</v>
      </c>
      <c r="Y47" s="87">
        <v>2</v>
      </c>
      <c r="Z47" s="87">
        <v>1.2</v>
      </c>
      <c r="AA47" s="82">
        <v>3</v>
      </c>
      <c r="AB47" s="82" t="s">
        <v>98</v>
      </c>
      <c r="AC47" s="82" t="s">
        <v>97</v>
      </c>
      <c r="AD47" s="82" t="s">
        <v>99</v>
      </c>
      <c r="AE47" s="82" t="s">
        <v>110</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82"/>
      <c r="AO47" s="87"/>
      <c r="AP47" s="82" t="s">
        <v>186</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qBeV8oAoCYDRUCK+QgfdhXTlZUkAudYConVaCyNnKHWfrDqu89p6OgmAwpkt4ADBlC6zBNP7csoZALHhs2DAQ==" saltValue="0ORh9n7XXVY+K71Tabves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156">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46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46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57036C41-E6C9-455D-B2C5-14955026C3E7}">
      <formula1>"Round Culvert,Oval Culvert,Concrete Box"</formula1>
    </dataValidation>
    <dataValidation type="decimal" allowBlank="1" showInputMessage="1" showErrorMessage="1" errorTitle="Invalid Diamter or Span" error="The Diameter or Span entered is invalid. Diameter or Span must be &gt; 0 and &lt; 300" sqref="N5" xr:uid="{A68C86D7-B0B0-49AE-BA22-A9F058DB6245}">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xr:uid="{5CF531C0-678B-4E21-A42D-E6F281EAD080}">
      <formula1>0.01</formula1>
      <formula2>1.59</formula2>
    </dataValidation>
    <dataValidation type="list" allowBlank="1" showInputMessage="1" showErrorMessage="1" errorTitle="Invalid value entered" error="The crossing subtype is not compatible with a crossing type of Closed Bottom Structure" sqref="M6" xr:uid="{099F969A-74B0-4DC4-87BA-FA852CE7945F}">
      <formula1>"Round Culvert,Oval Culvert,Concrete Box"</formula1>
    </dataValidation>
    <dataValidation type="decimal" allowBlank="1" showInputMessage="1" showErrorMessage="1" errorTitle="Invalid Diamter or Span" error="The Diameter or Span entered is invalid. Diameter or Span must be &gt; 0 and &lt; 300" sqref="N6" xr:uid="{B82EFFBB-9244-46EA-B4AB-E962D3C21193}">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 xr:uid="{7189010F-B573-4E27-A124-E4C9D1CFDC43}">
      <formula1>0.01</formula1>
      <formula2>1.19</formula2>
    </dataValidation>
    <dataValidation type="list" allowBlank="1" showInputMessage="1" showErrorMessage="1" errorTitle="Invalid value entered" error="The crossing subtype is not compatible with a crossing type of Closed Bottom Structure" sqref="M7" xr:uid="{B9A7FDF2-6DBE-4042-AAE1-F34835E3474C}">
      <formula1>"Round Culvert,Oval Culvert,Concrete Box"</formula1>
    </dataValidation>
    <dataValidation type="decimal" allowBlank="1" showInputMessage="1" showErrorMessage="1" errorTitle="Invalid Diamter or Span" error="The Diameter or Span entered is invalid. Diameter or Span must be &gt; 0 and &lt; 300" sqref="N7" xr:uid="{6B74EE99-B9DB-43E4-BF75-8D44A2A6D76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0D2851FF-6EDB-41BD-BA17-81A97B2ABC8E}">
      <formula1>0.01</formula1>
      <formula2>1.19</formula2>
    </dataValidation>
    <dataValidation type="list" allowBlank="1" showInputMessage="1" showErrorMessage="1" errorTitle="Invalid value entered" error="The crossing subtype is not compatible with a crossing type of Closed Bottom Structure" sqref="M8" xr:uid="{6C08254B-A47E-4BC9-B156-9E2908845473}">
      <formula1>"Round Culvert,Oval Culvert,Concrete Box"</formula1>
    </dataValidation>
    <dataValidation type="decimal" allowBlank="1" showInputMessage="1" showErrorMessage="1" errorTitle="Invalid Diamter or Span" error="The Diameter or Span entered is invalid. Diameter or Span must be &gt; 0 and &lt; 300" sqref="N8" xr:uid="{0A590BA8-CC7F-4BFA-A0F0-343C4754049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 xr:uid="{74AD6BAE-986F-43C9-B9EB-85FC5F29B6C1}">
      <formula1>0.01</formula1>
      <formula2>0.89</formula2>
    </dataValidation>
    <dataValidation type="list" allowBlank="1" showInputMessage="1" showErrorMessage="1" errorTitle="Invalid value entered" error="The crossing subtype is not compatible with a crossing type of Closed Bottom Structure" sqref="M9" xr:uid="{03DD5D95-9763-4657-9477-A8F859312DE3}">
      <formula1>"Round Culvert,Oval Culvert,Concrete Box"</formula1>
    </dataValidation>
    <dataValidation type="decimal" allowBlank="1" showInputMessage="1" showErrorMessage="1" errorTitle="Invalid Diamter or Span" error="The Diameter or Span entered is invalid. Diameter or Span must be &gt; 0 and &lt; 300" sqref="N9" xr:uid="{3A6C9B32-00B2-4F3D-8F6B-A3260B086A49}">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 xr:uid="{907D57A9-54D5-497E-84FD-F798F960C2E3}">
      <formula1>0.01</formula1>
      <formula2>1.19</formula2>
    </dataValidation>
    <dataValidation type="list" allowBlank="1" showInputMessage="1" showErrorMessage="1" errorTitle="Invalid value entered" error="The crossing subtype is not compatible with a crossing type of Closed Bottom Structure" sqref="M10" xr:uid="{C815CED0-276A-442B-A954-FCFADDB12C0D}">
      <formula1>"Round Culvert,Oval Culvert,Concrete Box"</formula1>
    </dataValidation>
    <dataValidation type="decimal" allowBlank="1" showInputMessage="1" showErrorMessage="1" errorTitle="Invalid Diamter or Span" error="The Diameter or Span entered is invalid. Diameter or Span must be &gt; 0 and &lt; 300" sqref="N10" xr:uid="{6F52C001-B56A-4696-92CB-ACD974EF1809}">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10" xr:uid="{0F6707AE-AD0B-43DB-B219-7D1991D0FFE7}">
      <formula1>0.01</formula1>
      <formula2>0.74</formula2>
    </dataValidation>
    <dataValidation type="list" allowBlank="1" showInputMessage="1" showErrorMessage="1" errorTitle="Invalid value entered" error="The crossing subtype is not compatible with a crossing type of Closed Bottom Structure" sqref="M11" xr:uid="{29459D95-C285-4578-ACD1-BD5E9040AA47}">
      <formula1>"Round Culvert,Oval Culvert,Concrete Box"</formula1>
    </dataValidation>
    <dataValidation type="decimal" allowBlank="1" showInputMessage="1" showErrorMessage="1" errorTitle="Invalid Diamter or Span" error="The Diameter or Span entered is invalid. Diameter or Span must be &gt; 0 and &lt; 300" sqref="N11" xr:uid="{6EA96C5E-9A8E-4C23-80C0-CD12B3A1FFCA}">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11" xr:uid="{395B8309-1931-4730-BF40-450A8D46CE7A}">
      <formula1>0.01</formula1>
      <formula2>1.29</formula2>
    </dataValidation>
    <dataValidation type="list" allowBlank="1" showInputMessage="1" showErrorMessage="1" errorTitle="Invalid value entered" error="The crossing subtype is not compatible with a crossing type of Closed Bottom Structure" sqref="M12" xr:uid="{26B68325-8E42-4BA1-8DA9-1EBEE9891C76}">
      <formula1>"Round Culvert,Oval Culvert,Concrete Box"</formula1>
    </dataValidation>
    <dataValidation type="decimal" allowBlank="1" showInputMessage="1" showErrorMessage="1" errorTitle="Invalid Diamter or Span" error="The Diameter or Span entered is invalid. Diameter or Span must be &gt; 0 and &lt; 300" sqref="N12" xr:uid="{AF85C954-D2B9-4DB5-9078-4E0A63633C35}">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2" xr:uid="{FDA579DA-896B-48F4-BE14-78C6435773AA}">
      <formula1>0.01</formula1>
      <formula2>0.89</formula2>
    </dataValidation>
    <dataValidation type="list" allowBlank="1" showInputMessage="1" showErrorMessage="1" errorTitle="Invalid value entered" error="The crossing subtype is not compatible with a crossing type of Closed Bottom Structure" sqref="M13" xr:uid="{189EF05C-6ED0-4EFA-B5CF-88FDBC1DB05F}">
      <formula1>"Round Culvert,Oval Culvert,Concrete Box"</formula1>
    </dataValidation>
    <dataValidation type="decimal" allowBlank="1" showInputMessage="1" showErrorMessage="1" errorTitle="Invalid Diamter or Span" error="The Diameter or Span entered is invalid. Diameter or Span must be &gt; 0 and &lt; 300" sqref="N13" xr:uid="{FF42C29B-DFC2-44FE-B27F-4811C9ECAC34}">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3" xr:uid="{567A04CB-E469-4466-9E84-441725FAB8D6}">
      <formula1>0.01</formula1>
      <formula2>0.99</formula2>
    </dataValidation>
    <dataValidation type="list" allowBlank="1" showInputMessage="1" showErrorMessage="1" errorTitle="Invalid value entered" error="The crossing subtype is not compatible with a crossing type of Other" sqref="M14" xr:uid="{7A73F6C7-2B8E-4B7B-994D-FC371D223F72}">
      <formula1>"Ford"</formula1>
    </dataValidation>
    <dataValidation type="list" allowBlank="1" showInputMessage="1" showErrorMessage="1" errorTitle="Invalid value entered" error="The crossing subtype is not compatible with a crossing type of Closed Bottom Structure" sqref="M15" xr:uid="{B22D1DB6-395F-43E9-8F5C-FD55EE5ED1B1}">
      <formula1>"Round Culvert,Oval Culvert,Concrete Box"</formula1>
    </dataValidation>
    <dataValidation type="decimal" allowBlank="1" showInputMessage="1" showErrorMessage="1" errorTitle="Invalid Diamter or Span" error="The Diameter or Span entered is invalid. Diameter or Span must be &gt; 0 and &lt; 300" sqref="N15" xr:uid="{C7141ABC-E51A-427B-B4F0-A3EA0BAC304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5" xr:uid="{5A8D497E-2AF7-4651-8085-4908F009E376}">
      <formula1>0.01</formula1>
      <formula2>0.59</formula2>
    </dataValidation>
    <dataValidation type="list" allowBlank="1" showInputMessage="1" showErrorMessage="1" errorTitle="Invalid value entered" error="The crossing subtype is not compatible with a crossing type of Open Bottom Structure" sqref="M16" xr:uid="{E18D4C7B-A138-45DE-A7DB-6EFD498087DE}">
      <formula1>"Bridge, Pipe Arch, Wood Box Culvert"</formula1>
    </dataValidation>
    <dataValidation type="decimal" allowBlank="1" showInputMessage="1" showErrorMessage="1" errorTitle="Invalid Diamter or Span" error="The Diameter or Span entered is invalid. Diameter or Span must be &gt; 0 and &lt; 100" sqref="N16" xr:uid="{B80C030E-055A-4F97-B6E9-7548BEEF2F9D}">
      <formula1>0.01</formula1>
      <formula2>100</formula2>
    </dataValidation>
    <dataValidation type="decimal" allowBlank="1" showInputMessage="1" showErrorMessage="1" errorTitle="Invalid value entered" error="The Average Depth Embededdment you entered is invalid. The Average Depth Embededdment must be &lt;= 4.99 and &gt;= 0.01" sqref="Q16" xr:uid="{5D6557F7-8D5E-466A-B6D2-5757F335A829}">
      <formula1>0.01</formula1>
      <formula2>4.99</formula2>
    </dataValidation>
    <dataValidation type="list" allowBlank="1" showInputMessage="1" showErrorMessage="1" errorTitle="Invalid value entered" error="The crossing subtype is not compatible with a crossing type of Closed Bottom Structure" sqref="M17" xr:uid="{D8443A61-9CFA-4ABD-9339-04F1BD9A03B2}">
      <formula1>"Round Culvert,Oval Culvert,Concrete Box"</formula1>
    </dataValidation>
    <dataValidation type="decimal" allowBlank="1" showInputMessage="1" showErrorMessage="1" errorTitle="Invalid Diamter or Span" error="The Diameter or Span entered is invalid. Diameter or Span must be &gt; 0 and &lt; 300" sqref="N17" xr:uid="{50AFBD4D-6661-4E86-ABAF-8065BD24B4E1}">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7" xr:uid="{17D7B5A3-2249-43D5-830E-24E93D354C49}">
      <formula1>0.01</formula1>
      <formula2>1.09</formula2>
    </dataValidation>
    <dataValidation type="list" allowBlank="1" showInputMessage="1" showErrorMessage="1" errorTitle="Invalid value entered" error="The crossing subtype is not compatible with a crossing type of Closed Bottom Structure" sqref="M18" xr:uid="{DF8C753B-29D2-4DE3-8499-6D4EFE150181}">
      <formula1>"Round Culvert,Oval Culvert,Concrete Box"</formula1>
    </dataValidation>
    <dataValidation type="decimal" allowBlank="1" showInputMessage="1" showErrorMessage="1" errorTitle="Invalid Diamter or Span" error="The Diameter or Span entered is invalid. Diameter or Span must be &gt; 0 and &lt; 300" sqref="N18" xr:uid="{087891EB-8BA7-4572-8974-F16D79481083}">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8" xr:uid="{53CFEEA4-1269-49A8-97D5-FEBC4925C179}">
      <formula1>0.01</formula1>
      <formula2>0.59</formula2>
    </dataValidation>
    <dataValidation type="list" allowBlank="1" showInputMessage="1" showErrorMessage="1" errorTitle="Invalid value entered" error="The crossing subtype is not compatible with a crossing type of Closed Bottom Structure" sqref="M19" xr:uid="{09515A13-C000-4A94-8BE2-3DBB7C5FD76D}">
      <formula1>"Round Culvert,Oval Culvert,Concrete Box"</formula1>
    </dataValidation>
    <dataValidation type="decimal" allowBlank="1" showInputMessage="1" showErrorMessage="1" errorTitle="Invalid Diamter or Span" error="The Diameter or Span entered is invalid. Diameter or Span must be &gt; 0 and &lt; 300" sqref="N19" xr:uid="{2E78C8D2-9D90-4A9B-858C-4782816CE398}">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19" xr:uid="{C43C689D-AB53-4822-90EC-2CF457810ADE}">
      <formula1>0.01</formula1>
      <formula2>1.59</formula2>
    </dataValidation>
    <dataValidation type="list" allowBlank="1" showInputMessage="1" showErrorMessage="1" errorTitle="Invalid value entered" error="The crossing subtype is not compatible with a crossing type of Closed Bottom Structure" sqref="M20" xr:uid="{0FC670D6-D76C-4644-979C-C171E58C81FA}">
      <formula1>"Round Culvert,Oval Culvert,Concrete Box"</formula1>
    </dataValidation>
    <dataValidation type="decimal" allowBlank="1" showInputMessage="1" showErrorMessage="1" errorTitle="Invalid Diamter or Span" error="The Diameter or Span entered is invalid. Diameter or Span must be &gt; 0 and &lt; 300" sqref="N20" xr:uid="{4732AD63-B411-4ABD-B3F5-29C74CC5D6C5}">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20" xr:uid="{D032D1DC-3F9D-4E72-9114-6584F3315E94}">
      <formula1>0.01</formula1>
      <formula2>0.74</formula2>
    </dataValidation>
    <dataValidation type="list" allowBlank="1" showInputMessage="1" showErrorMessage="1" errorTitle="Invalid value entered" error="The crossing subtype is not compatible with a crossing type of Closed Bottom Structure" sqref="M21" xr:uid="{4ED6FEF0-A8AC-4D0E-989F-BD46C794E375}">
      <formula1>"Round Culvert,Oval Culvert,Concrete Box"</formula1>
    </dataValidation>
    <dataValidation type="decimal" allowBlank="1" showInputMessage="1" showErrorMessage="1" errorTitle="Invalid Diamter or Span" error="The Diameter or Span entered is invalid. Diameter or Span must be &gt; 0 and &lt; 300" sqref="N21" xr:uid="{4294914F-EC62-421D-A3DE-AAB17D509E1C}">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21" xr:uid="{08EBBECA-36DC-44FF-A247-12E6E2FFF0DB}">
      <formula1>0.01</formula1>
      <formula2>1.99</formula2>
    </dataValidation>
    <dataValidation type="list" allowBlank="1" showInputMessage="1" showErrorMessage="1" errorTitle="Invalid value entered" error="The crossing subtype is not compatible with a crossing type of Closed Bottom Structure" sqref="M22" xr:uid="{835762DA-3121-47BB-8997-3CD7E4F44A49}">
      <formula1>"Round Culvert,Oval Culvert,Concrete Box"</formula1>
    </dataValidation>
    <dataValidation type="decimal" allowBlank="1" showInputMessage="1" showErrorMessage="1" errorTitle="Invalid Diamter or Span" error="The Diameter or Span entered is invalid. Diameter or Span must be &gt; 0 and &lt; 300" sqref="N22" xr:uid="{EF01A0E2-BAF7-41FD-9AD6-C44F6DDD101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2" xr:uid="{5862DBD0-9FAD-41DE-8154-0FA8E16EA62C}">
      <formula1>0.01</formula1>
      <formula2>0.89</formula2>
    </dataValidation>
    <dataValidation type="list" allowBlank="1" showInputMessage="1" showErrorMessage="1" errorTitle="Invalid value entered" error="The crossing subtype is not compatible with a crossing type of Closed Bottom Structure" sqref="M23" xr:uid="{471BCA57-1256-4024-8518-30D30DB22DAA}">
      <formula1>"Round Culvert,Oval Culvert,Concrete Box"</formula1>
    </dataValidation>
    <dataValidation type="decimal" allowBlank="1" showInputMessage="1" showErrorMessage="1" errorTitle="Invalid Diamter or Span" error="The Diameter or Span entered is invalid. Diameter or Span must be &gt; 0 and &lt; 300" sqref="N23" xr:uid="{5EB58B10-F990-4756-B8CF-133DFE761FB2}">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23" xr:uid="{4FE6BE56-96AC-45E4-A47A-1A8DF8C3F803}">
      <formula1>0.01</formula1>
      <formula2>4.49</formula2>
    </dataValidation>
    <dataValidation type="list" allowBlank="1" showInputMessage="1" showErrorMessage="1" errorTitle="Invalid value entered" error="The crossing subtype is not compatible with a crossing type of Closed Bottom Structure" sqref="M24" xr:uid="{B604FF1E-24B7-4473-93A5-A097F441FC72}">
      <formula1>"Round Culvert,Oval Culvert,Concrete Box"</formula1>
    </dataValidation>
    <dataValidation type="decimal" allowBlank="1" showInputMessage="1" showErrorMessage="1" errorTitle="Invalid Diamter or Span" error="The Diameter or Span entered is invalid. Diameter or Span must be &gt; 0 and &lt; 300" sqref="N24" xr:uid="{76EAFBBB-97D4-450F-AA05-823F9EBC22B7}">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24" xr:uid="{C1ECDB85-6581-4225-9DF7-2F172C92B0A4}">
      <formula1>0.01</formula1>
      <formula2>1.24</formula2>
    </dataValidation>
    <dataValidation type="list" allowBlank="1" showInputMessage="1" showErrorMessage="1" errorTitle="Invalid value entered" error="The crossing subtype is not compatible with a crossing type of Closed Bottom Structure" sqref="M25" xr:uid="{BA953B32-03EF-47E3-AD83-0140AA8F2C0F}">
      <formula1>"Round Culvert,Oval Culvert,Concrete Box"</formula1>
    </dataValidation>
    <dataValidation type="decimal" allowBlank="1" showInputMessage="1" showErrorMessage="1" errorTitle="Invalid Diamter or Span" error="The Diameter or Span entered is invalid. Diameter or Span must be &gt; 0 and &lt; 300" sqref="N25" xr:uid="{8949E3E6-4BB6-4872-AACB-5BDAD113DE47}">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5" xr:uid="{25BEEB33-5512-4430-AF8B-E6DCFF0A5C11}">
      <formula1>0.01</formula1>
      <formula2>1.79</formula2>
    </dataValidation>
    <dataValidation type="list" allowBlank="1" showInputMessage="1" showErrorMessage="1" errorTitle="Invalid value entered" error="The crossing subtype is not compatible with a crossing type of Closed Bottom Structure" sqref="M26" xr:uid="{19A911D5-33F0-462B-87CE-5A3BD2231300}">
      <formula1>"Round Culvert,Oval Culvert,Concrete Box"</formula1>
    </dataValidation>
    <dataValidation type="decimal" allowBlank="1" showInputMessage="1" showErrorMessage="1" errorTitle="Invalid Diamter or Span" error="The Diameter or Span entered is invalid. Diameter or Span must be &gt; 0 and &lt; 300" sqref="N26" xr:uid="{C622736C-B937-43A5-93E3-65DD347A9828}">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26" xr:uid="{07A0E671-66AF-4D38-9D0D-4708CC7F30FD}">
      <formula1>0.01</formula1>
      <formula2>1.49</formula2>
    </dataValidation>
    <dataValidation type="list" allowBlank="1" showInputMessage="1" showErrorMessage="1" errorTitle="Invalid value entered" error="The crossing subtype is not compatible with a crossing type of Closed Bottom Structure" sqref="M27" xr:uid="{30F8C7EA-5658-44A5-A4F4-EB652F30C969}">
      <formula1>"Round Culvert,Oval Culvert,Concrete Box"</formula1>
    </dataValidation>
    <dataValidation type="decimal" allowBlank="1" showInputMessage="1" showErrorMessage="1" errorTitle="Invalid Diamter or Span" error="The Diameter or Span entered is invalid. Diameter or Span must be &gt; 0 and &lt; 300" sqref="N27" xr:uid="{F683C65F-768B-4AEC-B26A-9F00A1F2F5E9}">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27" xr:uid="{69F53ECC-CCC3-4F64-8310-7225A4204B59}">
      <formula1>0.01</formula1>
      <formula2>1.49</formula2>
    </dataValidation>
    <dataValidation type="list" allowBlank="1" showInputMessage="1" showErrorMessage="1" errorTitle="Invalid value entered" error="The crossing subtype is not compatible with a crossing type of Closed Bottom Structure" sqref="M28" xr:uid="{0599D457-0FCE-4A4E-9472-3B5DE7879CED}">
      <formula1>"Round Culvert,Oval Culvert,Concrete Box"</formula1>
    </dataValidation>
    <dataValidation type="decimal" allowBlank="1" showInputMessage="1" showErrorMessage="1" errorTitle="Invalid Diamter or Span" error="The Diameter or Span entered is invalid. Diameter or Span must be &gt; 0 and &lt; 300" sqref="N28" xr:uid="{F700D560-7100-4914-97AB-FA5ABDFFE584}">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8" xr:uid="{E2810DAD-F342-493B-8D09-0274ED0C9B6D}">
      <formula1>0.01</formula1>
      <formula2>1.69</formula2>
    </dataValidation>
    <dataValidation type="list" allowBlank="1" showInputMessage="1" showErrorMessage="1" errorTitle="Invalid value entered" error="The crossing subtype is not compatible with a crossing type of Closed Bottom Structure" sqref="M29" xr:uid="{FA926F5E-CA37-4F77-8445-A33F7FE98BCA}">
      <formula1>"Round Culvert,Oval Culvert,Concrete Box"</formula1>
    </dataValidation>
    <dataValidation type="decimal" allowBlank="1" showInputMessage="1" showErrorMessage="1" errorTitle="Invalid Diamter or Span" error="The Diameter or Span entered is invalid. Diameter or Span must be &gt; 0 and &lt; 300" sqref="N29" xr:uid="{3AA39DD3-2ED2-4D82-8EC7-1F51413B329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29" xr:uid="{ABB2063B-AC4C-4C45-97D3-B1DB921339DB}">
      <formula1>0.01</formula1>
      <formula2>1.49</formula2>
    </dataValidation>
    <dataValidation type="list" allowBlank="1" showInputMessage="1" showErrorMessage="1" errorTitle="Invalid value entered" error="The crossing subtype is not compatible with a crossing type of Closed Bottom Structure" sqref="M30" xr:uid="{B497A721-5EF0-4A13-AA0F-DB54A5B2755C}">
      <formula1>"Round Culvert,Oval Culvert,Concrete Box"</formula1>
    </dataValidation>
    <dataValidation type="decimal" allowBlank="1" showInputMessage="1" showErrorMessage="1" errorTitle="Invalid Diamter or Span" error="The Diameter or Span entered is invalid. Diameter or Span must be &gt; 0 and &lt; 300" sqref="N30" xr:uid="{0414B0E4-88A1-424B-A244-1974B72D1672}">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0" xr:uid="{CEC80E9E-0A62-45A0-8E17-F819912185EC}">
      <formula1>0.01</formula1>
      <formula2>1.49</formula2>
    </dataValidation>
    <dataValidation type="list" allowBlank="1" showInputMessage="1" showErrorMessage="1" errorTitle="Invalid value entered" error="The crossing subtype is not compatible with a crossing type of Closed Bottom Structure" sqref="M31" xr:uid="{C7FE1A9A-2B4F-4B93-91C9-EB246343BEFC}">
      <formula1>"Round Culvert,Oval Culvert,Concrete Box"</formula1>
    </dataValidation>
    <dataValidation type="decimal" allowBlank="1" showInputMessage="1" showErrorMessage="1" errorTitle="Invalid Diamter or Span" error="The Diameter or Span entered is invalid. Diameter or Span must be &gt; 0 and &lt; 300" sqref="N31" xr:uid="{4C588739-98CF-4925-96A4-586FBBE238D2}">
      <formula1>0.01</formula1>
      <formula2>300</formula2>
    </dataValidation>
    <dataValidation type="decimal" allowBlank="1" showInputMessage="1" showErrorMessage="1" errorTitle="Invalid value entered" error="The Average Depth Embededdment you entered is invalid. The Average Depth Embededdment must be &lt;= 4.79 and &gt;= 0.01" sqref="Q31" xr:uid="{0BB2A597-F34B-4A06-B466-44227FCC7637}">
      <formula1>0.01</formula1>
      <formula2>4.79</formula2>
    </dataValidation>
    <dataValidation type="list" allowBlank="1" showInputMessage="1" showErrorMessage="1" errorTitle="Invalid value entered" error="The crossing subtype is not compatible with a crossing type of Closed Bottom Structure" sqref="M32" xr:uid="{61572DAE-70F1-47B3-A430-75162B4023EC}">
      <formula1>"Round Culvert,Oval Culvert,Concrete Box"</formula1>
    </dataValidation>
    <dataValidation type="decimal" allowBlank="1" showInputMessage="1" showErrorMessage="1" errorTitle="Invalid Diamter or Span" error="The Diameter or Span entered is invalid. Diameter or Span must be &gt; 0 and &lt; 300" sqref="N32" xr:uid="{9CE9D613-828A-4BD0-8ED4-DCD931FCD129}">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32" xr:uid="{6F50FD74-E0D0-44A8-8FA4-A3F44C3BCD32}">
      <formula1>0.01</formula1>
      <formula2>1.99</formula2>
    </dataValidation>
    <dataValidation type="list" allowBlank="1" showInputMessage="1" showErrorMessage="1" errorTitle="Invalid value entered" error="The crossing subtype is not compatible with a crossing type of Closed Bottom Structure" sqref="M33" xr:uid="{B0606344-A342-49B0-B33B-E44FB9D40021}">
      <formula1>"Round Culvert,Oval Culvert,Concrete Box"</formula1>
    </dataValidation>
    <dataValidation type="decimal" allowBlank="1" showInputMessage="1" showErrorMessage="1" errorTitle="Invalid Diamter or Span" error="The Diameter or Span entered is invalid. Diameter or Span must be &gt; 0 and &lt; 300" sqref="N33" xr:uid="{99C3BF10-107B-4390-9C37-32521E3CD81B}">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33" xr:uid="{BBB7FF4D-E781-4812-A1BF-AB0E4624242F}">
      <formula1>0.01</formula1>
      <formula2>3.09</formula2>
    </dataValidation>
    <dataValidation type="list" allowBlank="1" showInputMessage="1" showErrorMessage="1" errorTitle="Invalid value entered" error="The crossing subtype is not compatible with a crossing type of Closed Bottom Structure" sqref="M34" xr:uid="{B354E3E3-A5A5-4D40-80C4-C1923C76B793}">
      <formula1>"Round Culvert,Oval Culvert,Concrete Box"</formula1>
    </dataValidation>
    <dataValidation type="decimal" allowBlank="1" showInputMessage="1" showErrorMessage="1" errorTitle="Invalid Diamter or Span" error="The Diameter or Span entered is invalid. Diameter or Span must be &gt; 0 and &lt; 300" sqref="N34" xr:uid="{75F2093C-90CF-44A9-B362-0BDEAFE52BDF}">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34" xr:uid="{2FCC1C4F-9B2D-4A41-887B-AE557F7B4EDE}">
      <formula1>0.01</formula1>
      <formula2>0.99</formula2>
    </dataValidation>
    <dataValidation type="list" allowBlank="1" showInputMessage="1" showErrorMessage="1" errorTitle="Invalid value entered" error="The crossing subtype is not compatible with a crossing type of Closed Bottom Structure" sqref="M35" xr:uid="{9A02E139-F9A5-45DD-A466-7E3CF87F8CD9}">
      <formula1>"Round Culvert,Oval Culvert,Concrete Box"</formula1>
    </dataValidation>
    <dataValidation type="decimal" allowBlank="1" showInputMessage="1" showErrorMessage="1" errorTitle="Invalid Diamter or Span" error="The Diameter or Span entered is invalid. Diameter or Span must be &gt; 0 and &lt; 300" sqref="N35" xr:uid="{2BCEF6B6-49C3-4EF4-AE5E-4AA042CE047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35" xr:uid="{1E899AFF-1DF1-44DE-AC16-91EB44912042}">
      <formula1>0.01</formula1>
      <formula2>2.49</formula2>
    </dataValidation>
    <dataValidation type="list" allowBlank="1" showInputMessage="1" showErrorMessage="1" errorTitle="Invalid value entered" error="The crossing subtype is not compatible with a crossing type of Closed Bottom Structure" sqref="M36" xr:uid="{8B22F8BE-7C3D-4FCC-9893-B601B8CCCBBF}">
      <formula1>"Round Culvert,Oval Culvert,Concrete Box"</formula1>
    </dataValidation>
    <dataValidation type="decimal" allowBlank="1" showInputMessage="1" showErrorMessage="1" errorTitle="Invalid Diamter or Span" error="The Diameter or Span entered is invalid. Diameter or Span must be &gt; 0 and &lt; 300" sqref="N36" xr:uid="{00C01A02-42F9-440A-9FFD-6688848DD60B}">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36" xr:uid="{1F00B72D-0C2C-4891-A91F-AAA1C5C62D7D}">
      <formula1>0.01</formula1>
      <formula2>4.99</formula2>
    </dataValidation>
    <dataValidation type="list" allowBlank="1" showInputMessage="1" showErrorMessage="1" errorTitle="Invalid value entered" error="The crossing subtype is not compatible with a crossing type of Closed Bottom Structure" sqref="M37" xr:uid="{5EED97E1-EAF3-4AC2-8A65-04BA19A6958E}">
      <formula1>"Round Culvert,Oval Culvert,Concrete Box"</formula1>
    </dataValidation>
    <dataValidation type="decimal" allowBlank="1" showInputMessage="1" showErrorMessage="1" errorTitle="Invalid Diamter or Span" error="The Diameter or Span entered is invalid. Diameter or Span must be &gt; 0 and &lt; 300" sqref="N37" xr:uid="{67982446-A143-4DA2-A2BC-BB44A6D5F59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7" xr:uid="{66F1D048-497C-4F8C-893E-0BEA11318CFE}">
      <formula1>0.01</formula1>
      <formula2>0.89</formula2>
    </dataValidation>
    <dataValidation type="list" allowBlank="1" showInputMessage="1" showErrorMessage="1" errorTitle="Invalid value entered" error="The crossing subtype is not compatible with a crossing type of Closed Bottom Structure" sqref="M38" xr:uid="{E5A800D8-68D2-417C-B2DB-60437B6BFEAF}">
      <formula1>"Round Culvert,Oval Culvert,Concrete Box"</formula1>
    </dataValidation>
    <dataValidation type="decimal" allowBlank="1" showInputMessage="1" showErrorMessage="1" errorTitle="Invalid Diamter or Span" error="The Diameter or Span entered is invalid. Diameter or Span must be &gt; 0 and &lt; 300" sqref="N38" xr:uid="{BC749465-95F4-4302-99E1-B63602E064E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8" xr:uid="{EE485B2D-F981-4EF1-8687-D9C97046B63B}">
      <formula1>0.01</formula1>
      <formula2>1.49</formula2>
    </dataValidation>
    <dataValidation type="list" allowBlank="1" showInputMessage="1" showErrorMessage="1" errorTitle="Invalid value entered" error="The crossing subtype is not compatible with a crossing type of Closed Bottom Structure" sqref="M39" xr:uid="{74B4C831-3DEA-46A7-8C10-2F92D9C6DD32}">
      <formula1>"Round Culvert,Oval Culvert,Concrete Box"</formula1>
    </dataValidation>
    <dataValidation type="decimal" allowBlank="1" showInputMessage="1" showErrorMessage="1" errorTitle="Invalid Diamter or Span" error="The Diameter or Span entered is invalid. Diameter or Span must be &gt; 0 and &lt; 300" sqref="N39" xr:uid="{221CF531-9880-4FF4-8C52-F988AE657E1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9" xr:uid="{E612D770-A7C0-4EE4-BA16-A0FE0FC1EF38}">
      <formula1>0.01</formula1>
      <formula2>0.59</formula2>
    </dataValidation>
    <dataValidation type="list" allowBlank="1" showInputMessage="1" showErrorMessage="1" errorTitle="Invalid value entered" error="The crossing subtype is not compatible with a crossing type of Closed Bottom Structure" sqref="M40" xr:uid="{F6CA15A6-6441-4D31-A393-7BADD3E5EDD4}">
      <formula1>"Round Culvert,Oval Culvert,Concrete Box"</formula1>
    </dataValidation>
    <dataValidation type="decimal" allowBlank="1" showInputMessage="1" showErrorMessage="1" errorTitle="Invalid Diamter or Span" error="The Diameter or Span entered is invalid. Diameter or Span must be &gt; 0 and &lt; 300" sqref="N40" xr:uid="{2A790FC8-2311-4ABF-80DB-1C1BE535A092}">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40" xr:uid="{023C2AAD-F636-4CAE-A7B7-39E81D805ADB}">
      <formula1>0.01</formula1>
      <formula2>3.49</formula2>
    </dataValidation>
    <dataValidation type="list" allowBlank="1" showInputMessage="1" showErrorMessage="1" errorTitle="Invalid value entered" error="The crossing subtype is not compatible with a crossing type of Closed Bottom Structure" sqref="M41" xr:uid="{616D1133-6749-490F-9879-D1CF6D590974}">
      <formula1>"Round Culvert,Oval Culvert,Concrete Box"</formula1>
    </dataValidation>
    <dataValidation type="decimal" allowBlank="1" showInputMessage="1" showErrorMessage="1" errorTitle="Invalid Diamter or Span" error="The Diameter or Span entered is invalid. Diameter or Span must be &gt; 0 and &lt; 300" sqref="N41" xr:uid="{52109711-4D5A-46A3-96D3-226847201133}">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41" xr:uid="{22EAEC08-3684-4530-8807-CD7A081E26A0}">
      <formula1>0.01</formula1>
      <formula2>0.59</formula2>
    </dataValidation>
    <dataValidation type="list" allowBlank="1" showInputMessage="1" showErrorMessage="1" errorTitle="Invalid value entered" error="The crossing subtype is not compatible with a crossing type of Closed Bottom Structure" sqref="M42" xr:uid="{255DD5DA-A9D8-4DFC-86AD-0F5EA6025B85}">
      <formula1>"Round Culvert,Oval Culvert,Concrete Box"</formula1>
    </dataValidation>
    <dataValidation type="decimal" allowBlank="1" showInputMessage="1" showErrorMessage="1" errorTitle="Invalid Diamter or Span" error="The Diameter or Span entered is invalid. Diameter or Span must be &gt; 0 and &lt; 300" sqref="N42" xr:uid="{A2C1F035-762F-4FAC-82A2-A2851578C565}">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42" xr:uid="{5A576A10-3BCB-4D32-BE9D-17158E1261EE}">
      <formula1>0.01</formula1>
      <formula2>0.99</formula2>
    </dataValidation>
    <dataValidation type="list" allowBlank="1" showInputMessage="1" showErrorMessage="1" errorTitle="Invalid value entered" error="The crossing subtype is not compatible with a crossing type of Closed Bottom Structure" sqref="M43" xr:uid="{C059A59F-526A-4108-8CD0-F0784D0B2EE2}">
      <formula1>"Round Culvert,Oval Culvert,Concrete Box"</formula1>
    </dataValidation>
    <dataValidation type="decimal" allowBlank="1" showInputMessage="1" showErrorMessage="1" errorTitle="Invalid Diamter or Span" error="The Diameter or Span entered is invalid. Diameter or Span must be &gt; 0 and &lt; 300" sqref="N43" xr:uid="{EB3A8B70-251A-4B6D-972F-D4347D832DFC}">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3" xr:uid="{9460E0EA-B9CD-4C10-BC53-07A3E90319F4}">
      <formula1>0.01</formula1>
      <formula2>1.49</formula2>
    </dataValidation>
    <dataValidation type="list" allowBlank="1" showInputMessage="1" showErrorMessage="1" errorTitle="Invalid value entered" error="The crossing subtype is not compatible with a crossing type of Closed Bottom Structure" sqref="M44" xr:uid="{6547EEA6-C48C-4419-AE0F-6932DB652B4A}">
      <formula1>"Round Culvert,Oval Culvert,Concrete Box"</formula1>
    </dataValidation>
    <dataValidation type="decimal" allowBlank="1" showInputMessage="1" showErrorMessage="1" errorTitle="Invalid Diamter or Span" error="The Diameter or Span entered is invalid. Diameter or Span must be &gt; 0 and &lt; 300" sqref="N44" xr:uid="{434DAA7B-85E2-4E4C-B78A-BEBAF59C070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4" xr:uid="{7F85A864-04E1-4DD2-8F24-664336CC9EDD}">
      <formula1>0.01</formula1>
      <formula2>0.89</formula2>
    </dataValidation>
    <dataValidation type="list" allowBlank="1" showInputMessage="1" showErrorMessage="1" errorTitle="Invalid value entered" error="The crossing subtype is not compatible with a crossing type of Closed Bottom Structure" sqref="M45" xr:uid="{E56E65E7-30CE-410C-841C-A39FEE8D11DF}">
      <formula1>"Round Culvert,Oval Culvert,Concrete Box"</formula1>
    </dataValidation>
    <dataValidation type="decimal" allowBlank="1" showInputMessage="1" showErrorMessage="1" errorTitle="Invalid Diamter or Span" error="The Diameter or Span entered is invalid. Diameter or Span must be &gt; 0 and &lt; 300" sqref="N45" xr:uid="{BBF756E6-E884-4C77-8951-BC876FA23BAC}">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45" xr:uid="{D6B70FAD-A296-48D8-8187-621FBFCAB45C}">
      <formula1>0.01</formula1>
      <formula2>1.49</formula2>
    </dataValidation>
    <dataValidation type="list" allowBlank="1" showInputMessage="1" showErrorMessage="1" errorTitle="Invalid value entered" error="The crossing subtype is not compatible with a crossing type of Other" sqref="M46" xr:uid="{E0D85402-93EC-425B-B836-0FD24F251E04}">
      <formula1>"Ford"</formula1>
    </dataValidation>
    <dataValidation type="list" allowBlank="1" showInputMessage="1" showErrorMessage="1" errorTitle="Invalid value entered" error="The crossing subtype is not compatible with a crossing type of Closed Bottom Structure" sqref="M47" xr:uid="{A986A76C-CD3E-4E2B-9ADB-39B611DD7E1F}">
      <formula1>"Round Culvert,Oval Culvert,Concrete Box"</formula1>
    </dataValidation>
    <dataValidation type="decimal" allowBlank="1" showInputMessage="1" showErrorMessage="1" errorTitle="Invalid Diamter or Span" error="The Diameter or Span entered is invalid. Diameter or Span must be &gt; 0 and &lt; 300" sqref="N47" xr:uid="{C89ED9EC-A3B1-47D7-B1DE-A6C72B90A4AC}">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47" xr:uid="{3711A660-4E40-48BA-B265-D2DB8EA4E2B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2023-10-27T00:20:54Z</dcterms:modified>
</cp:coreProperties>
</file>