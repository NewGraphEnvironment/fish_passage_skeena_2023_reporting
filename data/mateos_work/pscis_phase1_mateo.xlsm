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3_reporting\data\"/>
    </mc:Choice>
  </mc:AlternateContent>
  <xr:revisionPtr revIDLastSave="0" documentId="13_ncr:1_{1F535DA1-C336-4D88-B85B-2163D223C76A}"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6"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J5213" i="2"/>
  <c r="AI5213" i="2"/>
  <c r="AH5213" i="2"/>
  <c r="AG5213" i="2"/>
  <c r="AF5213" i="2"/>
  <c r="AK5213" i="2" s="1"/>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s="1"/>
  <c r="AJ5205" i="2"/>
  <c r="AI5205" i="2"/>
  <c r="AH5205" i="2"/>
  <c r="AG5205" i="2"/>
  <c r="AF5205" i="2"/>
  <c r="AK5205" i="2" s="1"/>
  <c r="AJ5204" i="2"/>
  <c r="AI5204" i="2"/>
  <c r="AH5204" i="2"/>
  <c r="AG5204" i="2"/>
  <c r="AF5204" i="2"/>
  <c r="AK5204" i="2"/>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s="1"/>
  <c r="AJ5196" i="2"/>
  <c r="AI5196" i="2"/>
  <c r="AH5196" i="2"/>
  <c r="AG5196" i="2"/>
  <c r="AF5196" i="2"/>
  <c r="AK5196" i="2"/>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s="1"/>
  <c r="AJ5181" i="2"/>
  <c r="AI5181" i="2"/>
  <c r="AH5181" i="2"/>
  <c r="AG5181" i="2"/>
  <c r="AF5181" i="2"/>
  <c r="AK5181" i="2" s="1"/>
  <c r="AJ5180" i="2"/>
  <c r="AI5180" i="2"/>
  <c r="AH5180" i="2"/>
  <c r="AG5180" i="2"/>
  <c r="AF5180" i="2"/>
  <c r="AK5180" i="2"/>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L5082" i="2" s="1"/>
  <c r="AI5082" i="2"/>
  <c r="AH5082" i="2"/>
  <c r="AG5082" i="2"/>
  <c r="AF5082" i="2"/>
  <c r="AK5082" i="2"/>
  <c r="AJ5081" i="2"/>
  <c r="AI5081" i="2"/>
  <c r="AH5081" i="2"/>
  <c r="AG5081" i="2"/>
  <c r="AF5081" i="2"/>
  <c r="AK5081" i="2"/>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L5057" i="2"/>
  <c r="AI5057" i="2"/>
  <c r="AH5057" i="2"/>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H48" i="2"/>
  <c r="AI48" i="2"/>
  <c r="AJ48" i="2"/>
  <c r="AF49" i="2"/>
  <c r="AK49" i="2"/>
  <c r="AG49" i="2"/>
  <c r="AH49" i="2"/>
  <c r="AI49" i="2"/>
  <c r="AJ49" i="2"/>
  <c r="AF50" i="2"/>
  <c r="AK50" i="2"/>
  <c r="AG50" i="2"/>
  <c r="AH50" i="2"/>
  <c r="AI50" i="2"/>
  <c r="AJ50" i="2"/>
  <c r="AF51" i="2"/>
  <c r="AK51" i="2" s="1"/>
  <c r="AG51" i="2"/>
  <c r="AH51" i="2"/>
  <c r="AI51" i="2"/>
  <c r="AJ51" i="2"/>
  <c r="AF52" i="2"/>
  <c r="AK52" i="2" s="1"/>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s="1"/>
  <c r="AG60" i="2"/>
  <c r="AH60" i="2"/>
  <c r="AI60" i="2"/>
  <c r="AJ60" i="2"/>
  <c r="AF61" i="2"/>
  <c r="AK61" i="2"/>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s="1"/>
  <c r="AG67" i="2"/>
  <c r="AH67" i="2"/>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c r="AG74" i="2"/>
  <c r="AH74" i="2"/>
  <c r="AI74" i="2"/>
  <c r="AJ74" i="2"/>
  <c r="AF75" i="2"/>
  <c r="AK75" i="2" s="1"/>
  <c r="AG75" i="2"/>
  <c r="AH75" i="2"/>
  <c r="AI75" i="2"/>
  <c r="AJ75" i="2"/>
  <c r="AF76" i="2"/>
  <c r="AK76" i="2" s="1"/>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s="1"/>
  <c r="AG84" i="2"/>
  <c r="AH84" i="2"/>
  <c r="AI84" i="2"/>
  <c r="AJ84" i="2"/>
  <c r="AF85" i="2"/>
  <c r="AK85" i="2"/>
  <c r="AG85" i="2"/>
  <c r="AH85" i="2"/>
  <c r="AI85" i="2"/>
  <c r="AJ85" i="2"/>
  <c r="AF86" i="2"/>
  <c r="AK86" i="2"/>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s="1"/>
  <c r="AG92" i="2"/>
  <c r="AH92" i="2"/>
  <c r="AI92" i="2"/>
  <c r="AJ92" i="2"/>
  <c r="AF93" i="2"/>
  <c r="AK93" i="2"/>
  <c r="AG93" i="2"/>
  <c r="AH93" i="2"/>
  <c r="AI93" i="2"/>
  <c r="AJ93" i="2"/>
  <c r="AF94" i="2"/>
  <c r="AK94" i="2"/>
  <c r="AG94" i="2"/>
  <c r="AH94" i="2"/>
  <c r="AI94" i="2"/>
  <c r="AJ94" i="2"/>
  <c r="AF95" i="2"/>
  <c r="AK95" i="2" s="1"/>
  <c r="AG95" i="2"/>
  <c r="AH95" i="2"/>
  <c r="AI95" i="2"/>
  <c r="AJ95" i="2"/>
  <c r="AF96" i="2"/>
  <c r="AK96" i="2"/>
  <c r="AG96" i="2"/>
  <c r="AH96" i="2"/>
  <c r="AI96" i="2"/>
  <c r="AJ96" i="2"/>
  <c r="AF97" i="2"/>
  <c r="AK97" i="2"/>
  <c r="AG97" i="2"/>
  <c r="AH97" i="2"/>
  <c r="AI97" i="2"/>
  <c r="AJ97" i="2"/>
  <c r="AF98" i="2"/>
  <c r="AK98" i="2"/>
  <c r="AG98" i="2"/>
  <c r="AH98" i="2"/>
  <c r="AI98" i="2"/>
  <c r="AJ98" i="2"/>
  <c r="AF99" i="2"/>
  <c r="AK99" i="2" s="1"/>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s="1"/>
  <c r="AG163" i="2"/>
  <c r="AL163" i="2" s="1"/>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c r="AG167" i="2"/>
  <c r="AH167" i="2"/>
  <c r="AI167" i="2"/>
  <c r="AJ167" i="2"/>
  <c r="AF168" i="2"/>
  <c r="AK168" i="2" s="1"/>
  <c r="AG168" i="2"/>
  <c r="AH168" i="2"/>
  <c r="AL168" i="2"/>
  <c r="AI168" i="2"/>
  <c r="AJ168" i="2"/>
  <c r="AF169" i="2"/>
  <c r="AK169" i="2"/>
  <c r="AG169" i="2"/>
  <c r="AH169" i="2"/>
  <c r="AI169" i="2"/>
  <c r="AL169" i="2"/>
  <c r="AJ169" i="2"/>
  <c r="AF170" i="2"/>
  <c r="AK170" i="2" s="1"/>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s="1"/>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s="1"/>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s="1"/>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s="1"/>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s="1"/>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s="1"/>
  <c r="AG238" i="2"/>
  <c r="AH238" i="2"/>
  <c r="AI238" i="2"/>
  <c r="AJ238" i="2"/>
  <c r="AF239" i="2"/>
  <c r="AK239" i="2"/>
  <c r="AG239" i="2"/>
  <c r="AH239" i="2"/>
  <c r="AI239" i="2"/>
  <c r="AJ239" i="2"/>
  <c r="AF240" i="2"/>
  <c r="AK240" i="2" s="1"/>
  <c r="AG240" i="2"/>
  <c r="AH240" i="2"/>
  <c r="AI240" i="2"/>
  <c r="AJ240" i="2"/>
  <c r="AF241" i="2"/>
  <c r="AK241" i="2" s="1"/>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s="1"/>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s="1"/>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s="1"/>
  <c r="AG253" i="2"/>
  <c r="AL253" i="2" s="1"/>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s="1"/>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L324" i="2" s="1"/>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s="1"/>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L525" i="2" s="1"/>
  <c r="AH525" i="2"/>
  <c r="AI525" i="2"/>
  <c r="AJ525" i="2"/>
  <c r="AF526" i="2"/>
  <c r="AK526" i="2"/>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c r="AG597" i="2"/>
  <c r="AH597" i="2"/>
  <c r="AI597" i="2"/>
  <c r="AL597" i="2" s="1"/>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s="1"/>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s="1"/>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s="1"/>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c r="AG925" i="2"/>
  <c r="AH925" i="2"/>
  <c r="AL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L950" i="2" s="1"/>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c r="AG1150" i="2"/>
  <c r="AH1150" i="2"/>
  <c r="AI1150" i="2"/>
  <c r="AJ1150" i="2"/>
  <c r="AF1151" i="2"/>
  <c r="AK1151" i="2" s="1"/>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c r="AG1173" i="2"/>
  <c r="AL1173" i="2" s="1"/>
  <c r="AH1173" i="2"/>
  <c r="AI1173" i="2"/>
  <c r="AJ1173" i="2"/>
  <c r="AF1174" i="2"/>
  <c r="AK1174" i="2"/>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s="1"/>
  <c r="AG1184" i="2"/>
  <c r="AH1184" i="2"/>
  <c r="AI1184" i="2"/>
  <c r="AJ1184" i="2"/>
  <c r="AF1185" i="2"/>
  <c r="AK1185" i="2" s="1"/>
  <c r="AG1185" i="2"/>
  <c r="AH1185" i="2"/>
  <c r="AI1185" i="2"/>
  <c r="AJ1185" i="2"/>
  <c r="AF1186" i="2"/>
  <c r="AK1186" i="2"/>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s="1"/>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s="1"/>
  <c r="AG1224" i="2"/>
  <c r="AH1224" i="2"/>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s="1"/>
  <c r="AG1249" i="2"/>
  <c r="AH1249" i="2"/>
  <c r="AI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s="1"/>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s="1"/>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s="1"/>
  <c r="AG1356" i="2"/>
  <c r="AH1356" i="2"/>
  <c r="AI1356" i="2"/>
  <c r="AJ1356" i="2"/>
  <c r="AF1357" i="2"/>
  <c r="AK1357" i="2" s="1"/>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s="1"/>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s="1"/>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s="1"/>
  <c r="AG1433" i="2"/>
  <c r="AH1433" i="2"/>
  <c r="AI1433" i="2"/>
  <c r="AJ1433" i="2"/>
  <c r="AF1434" i="2"/>
  <c r="AK1434" i="2"/>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c r="AG1454" i="2"/>
  <c r="AH1454" i="2"/>
  <c r="AI1454" i="2"/>
  <c r="AJ1454" i="2"/>
  <c r="AF1455" i="2"/>
  <c r="AK1455" i="2"/>
  <c r="AL1455" i="2" s="1"/>
  <c r="AG1455" i="2"/>
  <c r="AH1455" i="2"/>
  <c r="AI1455" i="2"/>
  <c r="AJ1455" i="2"/>
  <c r="AF1456" i="2"/>
  <c r="AK1456" i="2"/>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s="1"/>
  <c r="AG1486" i="2"/>
  <c r="AH1486" i="2"/>
  <c r="AL1486" i="2" s="1"/>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c r="AG1495" i="2"/>
  <c r="AH1495" i="2"/>
  <c r="AI1495" i="2"/>
  <c r="AJ1495" i="2"/>
  <c r="AF1496" i="2"/>
  <c r="AK1496" i="2"/>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s="1"/>
  <c r="AG1509" i="2"/>
  <c r="AH1509" i="2"/>
  <c r="AL1509" i="2" s="1"/>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c r="AG1549" i="2"/>
  <c r="AH1549" i="2"/>
  <c r="AI1549" i="2"/>
  <c r="AJ1549" i="2"/>
  <c r="AF1550" i="2"/>
  <c r="AK1550" i="2" s="1"/>
  <c r="AG1550" i="2"/>
  <c r="AH1550" i="2"/>
  <c r="AI1550" i="2"/>
  <c r="AJ1550" i="2"/>
  <c r="AF1551" i="2"/>
  <c r="AK1551" i="2" s="1"/>
  <c r="AG1551" i="2"/>
  <c r="AH1551" i="2"/>
  <c r="AI1551" i="2"/>
  <c r="AJ1551" i="2"/>
  <c r="AF1552" i="2"/>
  <c r="AK1552" i="2"/>
  <c r="AG1552" i="2"/>
  <c r="AH1552" i="2"/>
  <c r="AI1552" i="2"/>
  <c r="AJ1552" i="2"/>
  <c r="AF1553" i="2"/>
  <c r="AK1553" i="2"/>
  <c r="AG1553" i="2"/>
  <c r="AH1553" i="2"/>
  <c r="AI1553" i="2"/>
  <c r="AJ1553" i="2"/>
  <c r="AF1554" i="2"/>
  <c r="AK1554" i="2" s="1"/>
  <c r="AG1554" i="2"/>
  <c r="AH1554" i="2"/>
  <c r="AI1554" i="2"/>
  <c r="AJ1554" i="2"/>
  <c r="AF1555" i="2"/>
  <c r="AK1555" i="2" s="1"/>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s="1"/>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c r="AG1589" i="2"/>
  <c r="AH1589" i="2"/>
  <c r="AI1589" i="2"/>
  <c r="AJ1589" i="2"/>
  <c r="AF1590" i="2"/>
  <c r="AK1590" i="2"/>
  <c r="AG1590" i="2"/>
  <c r="AH1590" i="2"/>
  <c r="AL1590" i="2" s="1"/>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s="1"/>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s="1"/>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s="1"/>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s="1"/>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s="1"/>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s="1"/>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s="1"/>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s="1"/>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H1789" i="2"/>
  <c r="AL1789" i="2" s="1"/>
  <c r="AI1789" i="2"/>
  <c r="AJ1789" i="2"/>
  <c r="AF1790" i="2"/>
  <c r="AK1790" i="2" s="1"/>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s="1"/>
  <c r="AG1818" i="2"/>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I1883" i="2"/>
  <c r="AJ1883" i="2"/>
  <c r="AF1884" i="2"/>
  <c r="AK1884" i="2"/>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s="1"/>
  <c r="AG1970" i="2"/>
  <c r="AH1970" i="2"/>
  <c r="AI1970" i="2"/>
  <c r="AJ1970" i="2"/>
  <c r="AF1971" i="2"/>
  <c r="AK1971" i="2" s="1"/>
  <c r="AL1971" i="2" s="1"/>
  <c r="AG1971" i="2"/>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J2004" i="2"/>
  <c r="AF2005" i="2"/>
  <c r="AK2005" i="2"/>
  <c r="AG2005" i="2"/>
  <c r="AH2005" i="2"/>
  <c r="AI2005" i="2"/>
  <c r="AJ2005" i="2"/>
  <c r="AF2006" i="2"/>
  <c r="AK2006" i="2" s="1"/>
  <c r="AL2006" i="2" s="1"/>
  <c r="AG2006" i="2"/>
  <c r="AH2006" i="2"/>
  <c r="AI2006" i="2"/>
  <c r="AJ2006" i="2"/>
  <c r="AF2007" i="2"/>
  <c r="AK2007" i="2"/>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c r="AG2015" i="2"/>
  <c r="AH2015" i="2"/>
  <c r="AL2015" i="2" s="1"/>
  <c r="AI2015" i="2"/>
  <c r="AJ2015" i="2"/>
  <c r="AF2016" i="2"/>
  <c r="AK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H2066" i="2"/>
  <c r="AI2066" i="2"/>
  <c r="AJ2066" i="2"/>
  <c r="AF2067" i="2"/>
  <c r="AK2067" i="2"/>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c r="AL2091" i="2"/>
  <c r="AG2091" i="2"/>
  <c r="AH2091" i="2"/>
  <c r="AI2091" i="2"/>
  <c r="AJ2091" i="2"/>
  <c r="AF2092" i="2"/>
  <c r="AK2092" i="2"/>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c r="AG2124" i="2"/>
  <c r="AL2124" i="2" s="1"/>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c r="AG2148" i="2"/>
  <c r="AH2148" i="2"/>
  <c r="AI2148" i="2"/>
  <c r="AJ2148" i="2"/>
  <c r="AF2149" i="2"/>
  <c r="AK2149" i="2" s="1"/>
  <c r="AG2149" i="2"/>
  <c r="AH2149" i="2"/>
  <c r="AI2149" i="2"/>
  <c r="AJ2149" i="2"/>
  <c r="AF2150" i="2"/>
  <c r="AK2150" i="2"/>
  <c r="AG2150" i="2"/>
  <c r="AH2150" i="2"/>
  <c r="AI2150" i="2"/>
  <c r="AJ2150" i="2"/>
  <c r="AF2151" i="2"/>
  <c r="AK2151" i="2"/>
  <c r="AG2151" i="2"/>
  <c r="AH2151" i="2"/>
  <c r="AI2151" i="2"/>
  <c r="AJ2151" i="2"/>
  <c r="AL2151" i="2" s="1"/>
  <c r="AF2152" i="2"/>
  <c r="AK2152" i="2" s="1"/>
  <c r="AG2152" i="2"/>
  <c r="AH2152" i="2"/>
  <c r="AI2152" i="2"/>
  <c r="AJ2152" i="2"/>
  <c r="AF2153" i="2"/>
  <c r="AK2153" i="2"/>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L2175" i="2" s="1"/>
  <c r="AJ2175" i="2"/>
  <c r="AF2176" i="2"/>
  <c r="AK2176" i="2" s="1"/>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L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c r="AL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s="1"/>
  <c r="AG2255" i="2"/>
  <c r="AH2255" i="2"/>
  <c r="AI2255" i="2"/>
  <c r="AL2255" i="2" s="1"/>
  <c r="AJ2255" i="2"/>
  <c r="AF2256" i="2"/>
  <c r="AK2256" i="2"/>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s="1"/>
  <c r="AG2281" i="2"/>
  <c r="AH2281" i="2"/>
  <c r="AI2281" i="2"/>
  <c r="AJ2281" i="2"/>
  <c r="AF2282" i="2"/>
  <c r="AK2282" i="2" s="1"/>
  <c r="AG2282" i="2"/>
  <c r="AH2282" i="2"/>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s="1"/>
  <c r="AG2303" i="2"/>
  <c r="AH2303" i="2"/>
  <c r="AL2303" i="2" s="1"/>
  <c r="AI2303" i="2"/>
  <c r="AJ2303" i="2"/>
  <c r="AF2304" i="2"/>
  <c r="AK2304" i="2"/>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L2314" i="2" s="1"/>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c r="AG2319" i="2"/>
  <c r="AH2319" i="2"/>
  <c r="AI2319" i="2"/>
  <c r="AJ2319" i="2"/>
  <c r="AF2320" i="2"/>
  <c r="AK2320" i="2" s="1"/>
  <c r="AG2320" i="2"/>
  <c r="AH2320" i="2"/>
  <c r="AL2320" i="2" s="1"/>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G2355" i="2"/>
  <c r="AL2355" i="2"/>
  <c r="AH2355" i="2"/>
  <c r="AI2355" i="2"/>
  <c r="AJ2355" i="2"/>
  <c r="AF2356" i="2"/>
  <c r="AK2356" i="2" s="1"/>
  <c r="AG2356" i="2"/>
  <c r="AH2356" i="2"/>
  <c r="AI2356" i="2"/>
  <c r="AJ2356" i="2"/>
  <c r="AF2357" i="2"/>
  <c r="AK2357" i="2"/>
  <c r="AG2357" i="2"/>
  <c r="AH2357" i="2"/>
  <c r="AI2357" i="2"/>
  <c r="AJ2357" i="2"/>
  <c r="AL2357" i="2"/>
  <c r="AF2358" i="2"/>
  <c r="AK2358" i="2" s="1"/>
  <c r="AG2358" i="2"/>
  <c r="AH2358" i="2"/>
  <c r="AI2358" i="2"/>
  <c r="AJ2358" i="2"/>
  <c r="AF2359" i="2"/>
  <c r="AK2359" i="2"/>
  <c r="AG2359" i="2"/>
  <c r="AH2359" i="2"/>
  <c r="AI2359" i="2"/>
  <c r="AJ2359" i="2"/>
  <c r="AF2360" i="2"/>
  <c r="AK2360" i="2" s="1"/>
  <c r="AG2360" i="2"/>
  <c r="AH2360" i="2"/>
  <c r="AI2360" i="2"/>
  <c r="AJ2360" i="2"/>
  <c r="AF2361" i="2"/>
  <c r="AK2361" i="2"/>
  <c r="AG2361" i="2"/>
  <c r="AH2361" i="2"/>
  <c r="AI2361" i="2"/>
  <c r="AJ2361" i="2"/>
  <c r="AF2362" i="2"/>
  <c r="AK2362" i="2" s="1"/>
  <c r="AG2362" i="2"/>
  <c r="AH2362" i="2"/>
  <c r="AI2362" i="2"/>
  <c r="AJ2362" i="2"/>
  <c r="AF2363" i="2"/>
  <c r="AK2363" i="2"/>
  <c r="AG2363" i="2"/>
  <c r="AH2363" i="2"/>
  <c r="AI2363" i="2"/>
  <c r="AJ2363" i="2"/>
  <c r="AF2364" i="2"/>
  <c r="AK2364" i="2" s="1"/>
  <c r="AG2364" i="2"/>
  <c r="AH2364" i="2"/>
  <c r="AL2364" i="2" s="1"/>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L2379" i="2" s="1"/>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G2384" i="2"/>
  <c r="AH2384" i="2"/>
  <c r="AI2384" i="2"/>
  <c r="AJ2384" i="2"/>
  <c r="AF2385" i="2"/>
  <c r="AK2385" i="2" s="1"/>
  <c r="AG2385" i="2"/>
  <c r="AH2385" i="2"/>
  <c r="AI2385" i="2"/>
  <c r="AJ2385" i="2"/>
  <c r="AF2386" i="2"/>
  <c r="AK2386" i="2"/>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c r="AL2390" i="2"/>
  <c r="AG2390" i="2"/>
  <c r="AH2390" i="2"/>
  <c r="AI2390" i="2"/>
  <c r="AJ2390" i="2"/>
  <c r="AF2391" i="2"/>
  <c r="AK2391" i="2" s="1"/>
  <c r="AG2391" i="2"/>
  <c r="AH2391" i="2"/>
  <c r="AI2391" i="2"/>
  <c r="AJ2391" i="2"/>
  <c r="AF2392" i="2"/>
  <c r="AK2392" i="2"/>
  <c r="AG2392" i="2"/>
  <c r="AH2392" i="2"/>
  <c r="AI2392" i="2"/>
  <c r="AJ2392" i="2"/>
  <c r="AF2393" i="2"/>
  <c r="AK2393" i="2" s="1"/>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c r="AG2398" i="2"/>
  <c r="AH2398" i="2"/>
  <c r="AI2398" i="2"/>
  <c r="AJ2398" i="2"/>
  <c r="AF2399" i="2"/>
  <c r="AK2399" i="2"/>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c r="AG2403" i="2"/>
  <c r="AH2403" i="2"/>
  <c r="AI2403" i="2"/>
  <c r="AJ2403" i="2"/>
  <c r="AF2404" i="2"/>
  <c r="AK2404" i="2" s="1"/>
  <c r="AG2404" i="2"/>
  <c r="AH2404" i="2"/>
  <c r="AI2404" i="2"/>
  <c r="AJ2404" i="2"/>
  <c r="AF2405" i="2"/>
  <c r="AK2405" i="2" s="1"/>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L2414" i="2" s="1"/>
  <c r="AI2414" i="2"/>
  <c r="AJ2414" i="2"/>
  <c r="AF2415" i="2"/>
  <c r="AK2415" i="2" s="1"/>
  <c r="AG2415" i="2"/>
  <c r="AH2415" i="2"/>
  <c r="AI2415" i="2"/>
  <c r="AJ2415" i="2"/>
  <c r="AF2416" i="2"/>
  <c r="AK2416" i="2"/>
  <c r="AL2416" i="2"/>
  <c r="AG2416" i="2"/>
  <c r="AH2416" i="2"/>
  <c r="AI2416" i="2"/>
  <c r="AJ2416" i="2"/>
  <c r="AF2417" i="2"/>
  <c r="AK2417" i="2" s="1"/>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L2430" i="2" s="1"/>
  <c r="AF2431" i="2"/>
  <c r="AK2431" i="2" s="1"/>
  <c r="AG2431" i="2"/>
  <c r="AH2431" i="2"/>
  <c r="AI2431" i="2"/>
  <c r="AJ2431" i="2"/>
  <c r="AF2432" i="2"/>
  <c r="AK2432" i="2" s="1"/>
  <c r="AG2432" i="2"/>
  <c r="AH2432" i="2"/>
  <c r="AL2432" i="2" s="1"/>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s="1"/>
  <c r="AG2436" i="2"/>
  <c r="AH2436" i="2"/>
  <c r="AI2436" i="2"/>
  <c r="AJ2436" i="2"/>
  <c r="AF2437" i="2"/>
  <c r="AK2437" i="2"/>
  <c r="AG2437" i="2"/>
  <c r="AH2437" i="2"/>
  <c r="AI2437" i="2"/>
  <c r="AJ2437" i="2"/>
  <c r="AF2438" i="2"/>
  <c r="AK2438" i="2" s="1"/>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c r="AG2446" i="2"/>
  <c r="AL2446" i="2" s="1"/>
  <c r="AH2446" i="2"/>
  <c r="AI2446" i="2"/>
  <c r="AJ2446" i="2"/>
  <c r="AF2447" i="2"/>
  <c r="AK2447" i="2" s="1"/>
  <c r="AG2447" i="2"/>
  <c r="AH2447" i="2"/>
  <c r="AI2447" i="2"/>
  <c r="AJ2447" i="2"/>
  <c r="AF2448" i="2"/>
  <c r="AK2448" i="2"/>
  <c r="AG2448" i="2"/>
  <c r="AH2448" i="2"/>
  <c r="AI2448" i="2"/>
  <c r="AL2448" i="2" s="1"/>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s="1"/>
  <c r="AG2454" i="2"/>
  <c r="AH2454" i="2"/>
  <c r="AL2454" i="2" s="1"/>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s="1"/>
  <c r="AL2463" i="2" s="1"/>
  <c r="AG2463" i="2"/>
  <c r="AH2463" i="2"/>
  <c r="AI2463" i="2"/>
  <c r="AJ2463" i="2"/>
  <c r="AF2464" i="2"/>
  <c r="AK2464" i="2"/>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G2468" i="2"/>
  <c r="AH2468" i="2"/>
  <c r="AI2468" i="2"/>
  <c r="AJ2468" i="2"/>
  <c r="AF2469" i="2"/>
  <c r="AK2469" i="2"/>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c r="AG2475" i="2"/>
  <c r="AH2475" i="2"/>
  <c r="AI2475" i="2"/>
  <c r="AJ2475" i="2"/>
  <c r="AF2476" i="2"/>
  <c r="AK2476" i="2" s="1"/>
  <c r="AG2476" i="2"/>
  <c r="AL2476" i="2" s="1"/>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L2482" i="2" s="1"/>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c r="AG2515" i="2"/>
  <c r="AH2515" i="2"/>
  <c r="AI2515" i="2"/>
  <c r="AJ2515" i="2"/>
  <c r="AF2516" i="2"/>
  <c r="AK2516" i="2" s="1"/>
  <c r="AG2516" i="2"/>
  <c r="AH2516" i="2"/>
  <c r="AI2516" i="2"/>
  <c r="AJ2516" i="2"/>
  <c r="AF2517" i="2"/>
  <c r="AK2517" i="2"/>
  <c r="AG2517" i="2"/>
  <c r="AH2517" i="2"/>
  <c r="AI2517" i="2"/>
  <c r="AJ2517" i="2"/>
  <c r="AF2518" i="2"/>
  <c r="AK2518" i="2" s="1"/>
  <c r="AG2518" i="2"/>
  <c r="AH2518" i="2"/>
  <c r="AI2518" i="2"/>
  <c r="AJ2518" i="2"/>
  <c r="AF2519" i="2"/>
  <c r="AK2519" i="2"/>
  <c r="AG2519" i="2"/>
  <c r="AH2519" i="2"/>
  <c r="AI2519" i="2"/>
  <c r="AJ2519" i="2"/>
  <c r="AF2520" i="2"/>
  <c r="AK2520" i="2" s="1"/>
  <c r="AG2520" i="2"/>
  <c r="AH2520" i="2"/>
  <c r="AI2520" i="2"/>
  <c r="AJ2520" i="2"/>
  <c r="AF2521" i="2"/>
  <c r="AG2521" i="2"/>
  <c r="AH2521" i="2"/>
  <c r="AI2521" i="2"/>
  <c r="AJ2521" i="2"/>
  <c r="AK2521" i="2"/>
  <c r="AF2522" i="2"/>
  <c r="AK2522" i="2" s="1"/>
  <c r="AG2522" i="2"/>
  <c r="AL2522" i="2" s="1"/>
  <c r="AH2522" i="2"/>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L2542" i="2"/>
  <c r="AF2543" i="2"/>
  <c r="AK2543" i="2" s="1"/>
  <c r="AG2543" i="2"/>
  <c r="AH2543" i="2"/>
  <c r="AI2543" i="2"/>
  <c r="AJ2543" i="2"/>
  <c r="AF2544" i="2"/>
  <c r="AK2544" i="2"/>
  <c r="AG2544" i="2"/>
  <c r="AH2544" i="2"/>
  <c r="AI2544" i="2"/>
  <c r="AL2544" i="2" s="1"/>
  <c r="AJ2544" i="2"/>
  <c r="AF2545" i="2"/>
  <c r="AK2545" i="2"/>
  <c r="AG2545" i="2"/>
  <c r="AL2545" i="2" s="1"/>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L2557" i="2" s="1"/>
  <c r="AH2557" i="2"/>
  <c r="AI2557" i="2"/>
  <c r="AJ2557" i="2"/>
  <c r="AF2558" i="2"/>
  <c r="AK2558" i="2"/>
  <c r="AG2558" i="2"/>
  <c r="AH2558" i="2"/>
  <c r="AI2558" i="2"/>
  <c r="AJ2558" i="2"/>
  <c r="AF2559" i="2"/>
  <c r="AK2559" i="2" s="1"/>
  <c r="AG2559" i="2"/>
  <c r="AH2559" i="2"/>
  <c r="AI2559" i="2"/>
  <c r="AJ2559" i="2"/>
  <c r="AF2560" i="2"/>
  <c r="AK2560" i="2"/>
  <c r="AG2560" i="2"/>
  <c r="AH2560" i="2"/>
  <c r="AI2560" i="2"/>
  <c r="AJ2560" i="2"/>
  <c r="AF2561" i="2"/>
  <c r="AK2561" i="2" s="1"/>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s="1"/>
  <c r="AG2565" i="2"/>
  <c r="AH2565" i="2"/>
  <c r="AI2565" i="2"/>
  <c r="AJ2565" i="2"/>
  <c r="AF2566" i="2"/>
  <c r="AK2566" i="2"/>
  <c r="AG2566" i="2"/>
  <c r="AH2566" i="2"/>
  <c r="AI2566" i="2"/>
  <c r="AJ2566" i="2"/>
  <c r="AF2567" i="2"/>
  <c r="AK2567" i="2" s="1"/>
  <c r="AG2567" i="2"/>
  <c r="AH2567" i="2"/>
  <c r="AI2567" i="2"/>
  <c r="AJ2567" i="2"/>
  <c r="AF2568" i="2"/>
  <c r="AK2568" i="2"/>
  <c r="AG2568" i="2"/>
  <c r="AH2568" i="2"/>
  <c r="AI2568" i="2"/>
  <c r="AJ2568" i="2"/>
  <c r="AL2568" i="2" s="1"/>
  <c r="AF2569" i="2"/>
  <c r="AK2569" i="2" s="1"/>
  <c r="AG2569" i="2"/>
  <c r="AH2569" i="2"/>
  <c r="AI2569" i="2"/>
  <c r="AJ2569" i="2"/>
  <c r="AF2570" i="2"/>
  <c r="AK2570" i="2"/>
  <c r="AG2570" i="2"/>
  <c r="AH2570" i="2"/>
  <c r="AI2570" i="2"/>
  <c r="AJ2570" i="2"/>
  <c r="AF2571" i="2"/>
  <c r="AK2571" i="2" s="1"/>
  <c r="AL2571" i="2" s="1"/>
  <c r="AG2571" i="2"/>
  <c r="AH2571" i="2"/>
  <c r="AI2571" i="2"/>
  <c r="AJ2571" i="2"/>
  <c r="AF2572" i="2"/>
  <c r="AK2572" i="2" s="1"/>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c r="AG2583" i="2"/>
  <c r="AH2583" i="2"/>
  <c r="AI2583" i="2"/>
  <c r="AJ2583" i="2"/>
  <c r="AF2584" i="2"/>
  <c r="AK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H2605" i="2"/>
  <c r="AI2605" i="2"/>
  <c r="AJ2605" i="2"/>
  <c r="AF2606" i="2"/>
  <c r="AK2606" i="2"/>
  <c r="AG2606" i="2"/>
  <c r="AH2606" i="2"/>
  <c r="AI2606" i="2"/>
  <c r="AJ2606" i="2"/>
  <c r="AL2606" i="2"/>
  <c r="AF2607" i="2"/>
  <c r="AK2607" i="2" s="1"/>
  <c r="AG2607" i="2"/>
  <c r="AH2607" i="2"/>
  <c r="AI2607" i="2"/>
  <c r="AJ2607" i="2"/>
  <c r="AF2608" i="2"/>
  <c r="AK2608" i="2"/>
  <c r="AG2608" i="2"/>
  <c r="AH2608" i="2"/>
  <c r="AI2608" i="2"/>
  <c r="AJ2608" i="2"/>
  <c r="AF2609" i="2"/>
  <c r="AK2609" i="2"/>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F2615" i="2"/>
  <c r="AK2615" i="2"/>
  <c r="AG2615" i="2"/>
  <c r="AH2615" i="2"/>
  <c r="AI2615" i="2"/>
  <c r="AJ2615" i="2"/>
  <c r="AF2616" i="2"/>
  <c r="AK2616" i="2" s="1"/>
  <c r="AG2616" i="2"/>
  <c r="AH2616" i="2"/>
  <c r="AI2616" i="2"/>
  <c r="AJ2616" i="2"/>
  <c r="AF2617" i="2"/>
  <c r="AK2617" i="2"/>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c r="AG2621" i="2"/>
  <c r="AH2621" i="2"/>
  <c r="AI2621" i="2"/>
  <c r="AJ2621" i="2"/>
  <c r="AF2622" i="2"/>
  <c r="AK2622" i="2" s="1"/>
  <c r="AG2622" i="2"/>
  <c r="AH2622" i="2"/>
  <c r="AL2622" i="2" s="1"/>
  <c r="AI2622" i="2"/>
  <c r="AJ2622" i="2"/>
  <c r="AF2623" i="2"/>
  <c r="AK2623" i="2"/>
  <c r="AG2623" i="2"/>
  <c r="AH2623" i="2"/>
  <c r="AI2623" i="2"/>
  <c r="AJ2623" i="2"/>
  <c r="AF2624" i="2"/>
  <c r="AK2624" i="2" s="1"/>
  <c r="AG2624" i="2"/>
  <c r="AL2624" i="2" s="1"/>
  <c r="AH2624" i="2"/>
  <c r="AI2624" i="2"/>
  <c r="AJ2624" i="2"/>
  <c r="AF2625" i="2"/>
  <c r="AK2625" i="2" s="1"/>
  <c r="AG2625" i="2"/>
  <c r="AH2625" i="2"/>
  <c r="AI2625" i="2"/>
  <c r="AJ2625" i="2"/>
  <c r="AF2626" i="2"/>
  <c r="AK2626" i="2"/>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c r="AL2630" i="2"/>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L2637" i="2" s="1"/>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L2653" i="2" s="1"/>
  <c r="AJ2653" i="2"/>
  <c r="AF2654" i="2"/>
  <c r="AK2654" i="2"/>
  <c r="AG2654" i="2"/>
  <c r="AH2654" i="2"/>
  <c r="AI2654" i="2"/>
  <c r="AJ2654" i="2"/>
  <c r="AF2655" i="2"/>
  <c r="AK2655" i="2" s="1"/>
  <c r="AG2655" i="2"/>
  <c r="AH2655" i="2"/>
  <c r="AI2655" i="2"/>
  <c r="AJ2655" i="2"/>
  <c r="AF2656" i="2"/>
  <c r="AK2656" i="2"/>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c r="AG2660" i="2"/>
  <c r="AH2660" i="2"/>
  <c r="AI2660" i="2"/>
  <c r="AJ2660" i="2"/>
  <c r="AF2661" i="2"/>
  <c r="AK2661" i="2" s="1"/>
  <c r="AG2661" i="2"/>
  <c r="AH2661" i="2"/>
  <c r="AI2661" i="2"/>
  <c r="AJ2661" i="2"/>
  <c r="AF2662" i="2"/>
  <c r="AK2662" i="2"/>
  <c r="AG2662" i="2"/>
  <c r="AH2662" i="2"/>
  <c r="AI2662" i="2"/>
  <c r="AJ2662" i="2"/>
  <c r="AF2663" i="2"/>
  <c r="AK2663" i="2" s="1"/>
  <c r="AL2663" i="2" s="1"/>
  <c r="AG2663" i="2"/>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L2673" i="2" s="1"/>
  <c r="AG2673" i="2"/>
  <c r="AH2673" i="2"/>
  <c r="AI2673" i="2"/>
  <c r="AJ2673" i="2"/>
  <c r="AF2674" i="2"/>
  <c r="AK2674" i="2" s="1"/>
  <c r="AG2674" i="2"/>
  <c r="AH2674" i="2"/>
  <c r="AI2674" i="2"/>
  <c r="AL2674" i="2" s="1"/>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L2679" i="2" s="1"/>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L2689" i="2" s="1"/>
  <c r="AI2689" i="2"/>
  <c r="AJ2689" i="2"/>
  <c r="AF2690" i="2"/>
  <c r="AK2690" i="2"/>
  <c r="AL2690" i="2" s="1"/>
  <c r="AG2690" i="2"/>
  <c r="AH2690" i="2"/>
  <c r="AI2690" i="2"/>
  <c r="AJ2690" i="2"/>
  <c r="AF2691" i="2"/>
  <c r="AK2691" i="2"/>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c r="AG2703" i="2"/>
  <c r="AH2703" i="2"/>
  <c r="AI2703" i="2"/>
  <c r="AJ2703" i="2"/>
  <c r="AF2704" i="2"/>
  <c r="AK2704" i="2" s="1"/>
  <c r="AG2704" i="2"/>
  <c r="AH2704" i="2"/>
  <c r="AI2704" i="2"/>
  <c r="AJ2704" i="2"/>
  <c r="AF2705" i="2"/>
  <c r="AK2705" i="2"/>
  <c r="AG2705" i="2"/>
  <c r="AL2705" i="2" s="1"/>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L2722" i="2" s="1"/>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c r="AG2726" i="2"/>
  <c r="AH2726" i="2"/>
  <c r="AI2726" i="2"/>
  <c r="AJ2726" i="2"/>
  <c r="AF2727" i="2"/>
  <c r="AK2727" i="2" s="1"/>
  <c r="AG2727" i="2"/>
  <c r="AL2727" i="2" s="1"/>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G2751" i="2"/>
  <c r="AH2751" i="2"/>
  <c r="AL2751" i="2" s="1"/>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H2767" i="2"/>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H2799" i="2"/>
  <c r="AL2799" i="2" s="1"/>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s="1"/>
  <c r="AG2827" i="2"/>
  <c r="AL2827" i="2" s="1"/>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L2851" i="2" s="1"/>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L2923" i="2"/>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c r="AG2939" i="2"/>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s="1"/>
  <c r="AG2967" i="2"/>
  <c r="AH2967" i="2"/>
  <c r="AI2967" i="2"/>
  <c r="AJ2967" i="2"/>
  <c r="AF2968" i="2"/>
  <c r="AK2968" i="2" s="1"/>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c r="AG3004" i="2"/>
  <c r="AH3004" i="2"/>
  <c r="AI3004" i="2"/>
  <c r="AJ3004" i="2"/>
  <c r="AF3005" i="2"/>
  <c r="AK3005" i="2" s="1"/>
  <c r="AL3005" i="2" s="1"/>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c r="AG3018" i="2"/>
  <c r="AH3018" i="2"/>
  <c r="AL3018" i="2"/>
  <c r="AI3018" i="2"/>
  <c r="AJ3018" i="2"/>
  <c r="AF3019" i="2"/>
  <c r="AK3019" i="2" s="1"/>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s="1"/>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s="1"/>
  <c r="AG3047" i="2"/>
  <c r="AH3047" i="2"/>
  <c r="AI3047" i="2"/>
  <c r="AJ3047" i="2"/>
  <c r="AF3048" i="2"/>
  <c r="AK3048" i="2"/>
  <c r="AG3048" i="2"/>
  <c r="AH3048" i="2"/>
  <c r="AI3048" i="2"/>
  <c r="AJ3048" i="2"/>
  <c r="AF3049" i="2"/>
  <c r="AK3049" i="2"/>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s="1"/>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s="1"/>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s="1"/>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s="1"/>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s="1"/>
  <c r="AG3083" i="2"/>
  <c r="AH3083" i="2"/>
  <c r="AI3083" i="2"/>
  <c r="AJ3083" i="2"/>
  <c r="AF3084" i="2"/>
  <c r="AK3084" i="2"/>
  <c r="AG3084" i="2"/>
  <c r="AH3084" i="2"/>
  <c r="AI3084" i="2"/>
  <c r="AJ3084" i="2"/>
  <c r="AF3085" i="2"/>
  <c r="AK3085" i="2"/>
  <c r="AG3085" i="2"/>
  <c r="AH3085" i="2"/>
  <c r="AI3085" i="2"/>
  <c r="AJ3085" i="2"/>
  <c r="AF3086" i="2"/>
  <c r="AK3086" i="2" s="1"/>
  <c r="AG3086" i="2"/>
  <c r="AH3086" i="2"/>
  <c r="AI3086" i="2"/>
  <c r="AJ3086" i="2"/>
  <c r="AF3087" i="2"/>
  <c r="AK3087" i="2" s="1"/>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s="1"/>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s="1"/>
  <c r="AG3095" i="2"/>
  <c r="AH3095" i="2"/>
  <c r="AI3095" i="2"/>
  <c r="AJ3095" i="2"/>
  <c r="AF3096" i="2"/>
  <c r="AK3096" i="2"/>
  <c r="AG3096" i="2"/>
  <c r="AH3096" i="2"/>
  <c r="AI3096" i="2"/>
  <c r="AJ3096" i="2"/>
  <c r="AF3097" i="2"/>
  <c r="AK3097" i="2"/>
  <c r="AG3097" i="2"/>
  <c r="AH3097" i="2"/>
  <c r="AI3097" i="2"/>
  <c r="AJ3097" i="2"/>
  <c r="AF3098" i="2"/>
  <c r="AK3098" i="2" s="1"/>
  <c r="AG3098" i="2"/>
  <c r="AH3098" i="2"/>
  <c r="AI3098" i="2"/>
  <c r="AJ3098" i="2"/>
  <c r="AF3099" i="2"/>
  <c r="AK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c r="AG3123" i="2"/>
  <c r="AH3123" i="2"/>
  <c r="AL3123" i="2"/>
  <c r="AI3123" i="2"/>
  <c r="AJ3123" i="2"/>
  <c r="AF3124" i="2"/>
  <c r="AK3124" i="2" s="1"/>
  <c r="AG3124" i="2"/>
  <c r="AH3124" i="2"/>
  <c r="AI3124" i="2"/>
  <c r="AJ3124" i="2"/>
  <c r="AF3125" i="2"/>
  <c r="AK3125" i="2" s="1"/>
  <c r="AG3125" i="2"/>
  <c r="AH3125" i="2"/>
  <c r="AI3125" i="2"/>
  <c r="AJ3125" i="2"/>
  <c r="AF3126" i="2"/>
  <c r="AK3126" i="2"/>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c r="AG3130" i="2"/>
  <c r="AH3130" i="2"/>
  <c r="AI3130" i="2"/>
  <c r="AJ3130" i="2"/>
  <c r="AF3131" i="2"/>
  <c r="AK3131" i="2" s="1"/>
  <c r="AG3131" i="2"/>
  <c r="AH3131" i="2"/>
  <c r="AI3131" i="2"/>
  <c r="AJ3131" i="2"/>
  <c r="AF3132" i="2"/>
  <c r="AK3132" i="2" s="1"/>
  <c r="AG3132" i="2"/>
  <c r="AH3132" i="2"/>
  <c r="AI3132" i="2"/>
  <c r="AJ3132" i="2"/>
  <c r="AF3133" i="2"/>
  <c r="AK3133" i="2"/>
  <c r="AG3133" i="2"/>
  <c r="AH3133" i="2"/>
  <c r="AI3133" i="2"/>
  <c r="AJ3133" i="2"/>
  <c r="AF3134" i="2"/>
  <c r="AK3134" i="2"/>
  <c r="AG3134" i="2"/>
  <c r="AH3134" i="2"/>
  <c r="AI3134" i="2"/>
  <c r="AJ3134" i="2"/>
  <c r="AF3135" i="2"/>
  <c r="AK3135" i="2" s="1"/>
  <c r="AG3135" i="2"/>
  <c r="AH3135" i="2"/>
  <c r="AI3135" i="2"/>
  <c r="AJ3135" i="2"/>
  <c r="AF3136" i="2"/>
  <c r="AK3136" i="2" s="1"/>
  <c r="AG3136" i="2"/>
  <c r="AH3136" i="2"/>
  <c r="AI3136" i="2"/>
  <c r="AJ3136" i="2"/>
  <c r="AF3137" i="2"/>
  <c r="AK3137" i="2"/>
  <c r="AG3137" i="2"/>
  <c r="AH3137" i="2"/>
  <c r="AI3137" i="2"/>
  <c r="AJ3137" i="2"/>
  <c r="AF3138" i="2"/>
  <c r="AK3138" i="2"/>
  <c r="AG3138" i="2"/>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c r="AG3174" i="2"/>
  <c r="AH3174" i="2"/>
  <c r="AI3174" i="2"/>
  <c r="AJ3174" i="2"/>
  <c r="AF3175" i="2"/>
  <c r="AK3175" i="2"/>
  <c r="AG3175" i="2"/>
  <c r="AH3175" i="2"/>
  <c r="AI3175" i="2"/>
  <c r="AJ3175" i="2"/>
  <c r="AF3176" i="2"/>
  <c r="AK3176" i="2" s="1"/>
  <c r="AG3176" i="2"/>
  <c r="AH3176" i="2"/>
  <c r="AI3176" i="2"/>
  <c r="AJ3176" i="2"/>
  <c r="AF3177" i="2"/>
  <c r="AK3177" i="2" s="1"/>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c r="AG3202" i="2"/>
  <c r="AH3202" i="2"/>
  <c r="AI3202" i="2"/>
  <c r="AJ3202" i="2"/>
  <c r="AF3203" i="2"/>
  <c r="AK3203" i="2"/>
  <c r="AG3203" i="2"/>
  <c r="AH3203" i="2"/>
  <c r="AI3203" i="2"/>
  <c r="AJ3203" i="2"/>
  <c r="AF3204" i="2"/>
  <c r="AK3204" i="2" s="1"/>
  <c r="AG3204" i="2"/>
  <c r="AH3204" i="2"/>
  <c r="AI3204" i="2"/>
  <c r="AJ3204" i="2"/>
  <c r="AF3205" i="2"/>
  <c r="AK3205" i="2" s="1"/>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c r="AG3211" i="2"/>
  <c r="AH3211" i="2"/>
  <c r="AI3211" i="2"/>
  <c r="AJ3211" i="2"/>
  <c r="AF3212" i="2"/>
  <c r="AK3212" i="2" s="1"/>
  <c r="AG3212" i="2"/>
  <c r="AH3212" i="2"/>
  <c r="AL3212" i="2" s="1"/>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c r="AG3221" i="2"/>
  <c r="AH3221" i="2"/>
  <c r="AI3221" i="2"/>
  <c r="AL3221" i="2" s="1"/>
  <c r="AJ3221" i="2"/>
  <c r="AF3222" i="2"/>
  <c r="AK3222" i="2" s="1"/>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s="1"/>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s="1"/>
  <c r="AG3254" i="2"/>
  <c r="AH3254" i="2"/>
  <c r="AL3254" i="2" s="1"/>
  <c r="AI3254" i="2"/>
  <c r="AJ3254" i="2"/>
  <c r="AF3255" i="2"/>
  <c r="AK3255" i="2"/>
  <c r="AG3255" i="2"/>
  <c r="AH3255" i="2"/>
  <c r="AI3255" i="2"/>
  <c r="AL3255" i="2" s="1"/>
  <c r="AJ3255" i="2"/>
  <c r="AF3256" i="2"/>
  <c r="AK3256" i="2" s="1"/>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c r="AG3284" i="2"/>
  <c r="AH3284" i="2"/>
  <c r="AL3284" i="2" s="1"/>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c r="AG3289" i="2"/>
  <c r="AH3289" i="2"/>
  <c r="AI3289" i="2"/>
  <c r="AJ3289" i="2"/>
  <c r="AF3290" i="2"/>
  <c r="AK3290" i="2" s="1"/>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s="1"/>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s="1"/>
  <c r="AG3298" i="2"/>
  <c r="AH3298" i="2"/>
  <c r="AI3298" i="2"/>
  <c r="AJ3298" i="2"/>
  <c r="AF3299" i="2"/>
  <c r="AK3299" i="2"/>
  <c r="AG3299" i="2"/>
  <c r="AH3299" i="2"/>
  <c r="AI3299" i="2"/>
  <c r="AJ3299" i="2"/>
  <c r="AF3300" i="2"/>
  <c r="AK3300" i="2"/>
  <c r="AG3300" i="2"/>
  <c r="AL3300" i="2" s="1"/>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c r="AG3304" i="2"/>
  <c r="AH3304" i="2"/>
  <c r="AI3304" i="2"/>
  <c r="AJ3304" i="2"/>
  <c r="AF3305" i="2"/>
  <c r="AK3305" i="2"/>
  <c r="AG3305" i="2"/>
  <c r="AH3305" i="2"/>
  <c r="AI3305" i="2"/>
  <c r="AJ3305" i="2"/>
  <c r="AF3306" i="2"/>
  <c r="AK3306" i="2" s="1"/>
  <c r="AL3306" i="2" s="1"/>
  <c r="AG3306" i="2"/>
  <c r="AH3306" i="2"/>
  <c r="AI3306" i="2"/>
  <c r="AJ3306" i="2"/>
  <c r="AF3307" i="2"/>
  <c r="AK3307" i="2"/>
  <c r="AG3307" i="2"/>
  <c r="AH3307" i="2"/>
  <c r="AI3307" i="2"/>
  <c r="AL3307" i="2" s="1"/>
  <c r="AJ3307" i="2"/>
  <c r="AF3308" i="2"/>
  <c r="AK3308" i="2" s="1"/>
  <c r="AG3308" i="2"/>
  <c r="AH3308" i="2"/>
  <c r="AI3308" i="2"/>
  <c r="AJ3308" i="2"/>
  <c r="AF3309" i="2"/>
  <c r="AK3309" i="2"/>
  <c r="AG3309" i="2"/>
  <c r="AH3309" i="2"/>
  <c r="AL3309" i="2" s="1"/>
  <c r="AI3309" i="2"/>
  <c r="AJ3309" i="2"/>
  <c r="AF3310" i="2"/>
  <c r="AK3310" i="2" s="1"/>
  <c r="AG3310" i="2"/>
  <c r="AL3310" i="2" s="1"/>
  <c r="AH3310" i="2"/>
  <c r="AI3310" i="2"/>
  <c r="AJ3310" i="2"/>
  <c r="AF3311" i="2"/>
  <c r="AK3311" i="2"/>
  <c r="AG3311" i="2"/>
  <c r="AH3311" i="2"/>
  <c r="AI3311" i="2"/>
  <c r="AJ3311" i="2"/>
  <c r="AF3312" i="2"/>
  <c r="AK3312" i="2" s="1"/>
  <c r="AG3312" i="2"/>
  <c r="AH3312" i="2"/>
  <c r="AI3312" i="2"/>
  <c r="AJ3312" i="2"/>
  <c r="AF3313" i="2"/>
  <c r="AK3313" i="2" s="1"/>
  <c r="AG3313" i="2"/>
  <c r="AH3313" i="2"/>
  <c r="AI3313" i="2"/>
  <c r="AJ3313" i="2"/>
  <c r="AF3314" i="2"/>
  <c r="AK3314" i="2"/>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s="1"/>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c r="AG3329" i="2"/>
  <c r="AH3329" i="2"/>
  <c r="AI3329" i="2"/>
  <c r="AJ3329" i="2"/>
  <c r="AF3330" i="2"/>
  <c r="AK3330" i="2" s="1"/>
  <c r="AG3330" i="2"/>
  <c r="AL3330" i="2" s="1"/>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L3344" i="2" s="1"/>
  <c r="AF3345" i="2"/>
  <c r="AK3345" i="2"/>
  <c r="AG3345" i="2"/>
  <c r="AH3345" i="2"/>
  <c r="AI3345" i="2"/>
  <c r="AJ3345" i="2"/>
  <c r="AF3346" i="2"/>
  <c r="AK3346" i="2"/>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c r="AL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L3360" i="2" s="1"/>
  <c r="AH3360" i="2"/>
  <c r="AI3360" i="2"/>
  <c r="AJ3360" i="2"/>
  <c r="AF3361" i="2"/>
  <c r="AK3361" i="2" s="1"/>
  <c r="AG3361" i="2"/>
  <c r="AH3361" i="2"/>
  <c r="AI3361" i="2"/>
  <c r="AJ3361" i="2"/>
  <c r="AF3362" i="2"/>
  <c r="AK3362" i="2"/>
  <c r="AG3362" i="2"/>
  <c r="AH3362" i="2"/>
  <c r="AI3362" i="2"/>
  <c r="AJ3362" i="2"/>
  <c r="AF3363" i="2"/>
  <c r="AK3363" i="2"/>
  <c r="AG3363" i="2"/>
  <c r="AH3363" i="2"/>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L3378" i="2" s="1"/>
  <c r="AF3379" i="2"/>
  <c r="AK3379" i="2"/>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L3385" i="2" s="1"/>
  <c r="AG3385" i="2"/>
  <c r="AH3385" i="2"/>
  <c r="AI3385" i="2"/>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c r="AG3415" i="2"/>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s="1"/>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s="1"/>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c r="AG3440" i="2"/>
  <c r="AL3440" i="2" s="1"/>
  <c r="AH3440" i="2"/>
  <c r="AI3440" i="2"/>
  <c r="AJ3440" i="2"/>
  <c r="AF3441" i="2"/>
  <c r="AK3441" i="2" s="1"/>
  <c r="AG3441" i="2"/>
  <c r="AH3441" i="2"/>
  <c r="AI3441" i="2"/>
  <c r="AJ3441" i="2"/>
  <c r="AF3442" i="2"/>
  <c r="AK3442" i="2"/>
  <c r="AG3442" i="2"/>
  <c r="AH3442" i="2"/>
  <c r="AI3442" i="2"/>
  <c r="AL3442" i="2" s="1"/>
  <c r="AJ3442" i="2"/>
  <c r="AF3443" i="2"/>
  <c r="AK3443" i="2" s="1"/>
  <c r="AG3443" i="2"/>
  <c r="AL3443" i="2" s="1"/>
  <c r="AH3443" i="2"/>
  <c r="AI3443" i="2"/>
  <c r="AJ3443" i="2"/>
  <c r="AF3444" i="2"/>
  <c r="AK3444" i="2"/>
  <c r="AG3444" i="2"/>
  <c r="AH3444" i="2"/>
  <c r="AI3444" i="2"/>
  <c r="AJ3444" i="2"/>
  <c r="AF3445" i="2"/>
  <c r="AK3445" i="2"/>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s="1"/>
  <c r="AG3464" i="2"/>
  <c r="AH3464" i="2"/>
  <c r="AI3464" i="2"/>
  <c r="AJ3464" i="2"/>
  <c r="AF3465" i="2"/>
  <c r="AK3465" i="2"/>
  <c r="AG3465" i="2"/>
  <c r="AH3465" i="2"/>
  <c r="AL3465" i="2" s="1"/>
  <c r="AI3465" i="2"/>
  <c r="AJ3465" i="2"/>
  <c r="AF3466" i="2"/>
  <c r="AK3466" i="2" s="1"/>
  <c r="AG3466" i="2"/>
  <c r="AH3466" i="2"/>
  <c r="AI3466" i="2"/>
  <c r="AJ3466" i="2"/>
  <c r="AF3467" i="2"/>
  <c r="AK3467" i="2"/>
  <c r="AG3467" i="2"/>
  <c r="AH3467" i="2"/>
  <c r="AL3467" i="2" s="1"/>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s="1"/>
  <c r="AL3491" i="2" s="1"/>
  <c r="AG3491" i="2"/>
  <c r="AH3491" i="2"/>
  <c r="AI3491" i="2"/>
  <c r="AJ3491" i="2"/>
  <c r="AF3492" i="2"/>
  <c r="AK3492" i="2"/>
  <c r="AG3492" i="2"/>
  <c r="AH3492" i="2"/>
  <c r="AL3492" i="2" s="1"/>
  <c r="AI3492" i="2"/>
  <c r="AJ3492" i="2"/>
  <c r="AF3493" i="2"/>
  <c r="AK3493" i="2"/>
  <c r="AG3493" i="2"/>
  <c r="AL3493" i="2" s="1"/>
  <c r="AH3493" i="2"/>
  <c r="AI3493" i="2"/>
  <c r="AJ3493" i="2"/>
  <c r="AF3494" i="2"/>
  <c r="AG3494" i="2"/>
  <c r="AH3494" i="2"/>
  <c r="AI3494" i="2"/>
  <c r="AJ3494" i="2"/>
  <c r="AK3494" i="2"/>
  <c r="AL3494" i="2"/>
  <c r="AF3495" i="2"/>
  <c r="AK3495" i="2" s="1"/>
  <c r="AG3495" i="2"/>
  <c r="AH3495" i="2"/>
  <c r="AI3495" i="2"/>
  <c r="AJ3495" i="2"/>
  <c r="AF3496" i="2"/>
  <c r="AK3496" i="2" s="1"/>
  <c r="AG3496" i="2"/>
  <c r="AH3496" i="2"/>
  <c r="AI3496" i="2"/>
  <c r="AJ3496" i="2"/>
  <c r="AF3497" i="2"/>
  <c r="AK3497" i="2"/>
  <c r="AG3497" i="2"/>
  <c r="AL3497" i="2" s="1"/>
  <c r="AH3497" i="2"/>
  <c r="AI3497" i="2"/>
  <c r="AJ3497" i="2"/>
  <c r="AF3498" i="2"/>
  <c r="AK3498" i="2"/>
  <c r="AG3498" i="2"/>
  <c r="AH3498" i="2"/>
  <c r="AI3498" i="2"/>
  <c r="AJ3498" i="2"/>
  <c r="AF3499" i="2"/>
  <c r="AG3499" i="2"/>
  <c r="AH3499" i="2"/>
  <c r="AI3499" i="2"/>
  <c r="AL3499" i="2" s="1"/>
  <c r="AJ3499" i="2"/>
  <c r="AK3499" i="2"/>
  <c r="AF3500" i="2"/>
  <c r="AK3500" i="2" s="1"/>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s="1"/>
  <c r="AL3506" i="2" s="1"/>
  <c r="AG3506" i="2"/>
  <c r="AH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G3515" i="2"/>
  <c r="AH3515" i="2"/>
  <c r="AI3515" i="2"/>
  <c r="AJ3515" i="2"/>
  <c r="AF3516" i="2"/>
  <c r="AK3516" i="2"/>
  <c r="AG3516" i="2"/>
  <c r="AH3516" i="2"/>
  <c r="AI3516" i="2"/>
  <c r="AJ3516" i="2"/>
  <c r="AF3517" i="2"/>
  <c r="AK3517" i="2" s="1"/>
  <c r="AG3517" i="2"/>
  <c r="AH3517" i="2"/>
  <c r="AI3517" i="2"/>
  <c r="AL3517" i="2" s="1"/>
  <c r="AJ3517" i="2"/>
  <c r="AF3518" i="2"/>
  <c r="AK3518" i="2"/>
  <c r="AG3518" i="2"/>
  <c r="AH3518" i="2"/>
  <c r="AI3518" i="2"/>
  <c r="AJ3518" i="2"/>
  <c r="AF3519" i="2"/>
  <c r="AK3519" i="2" s="1"/>
  <c r="AG3519" i="2"/>
  <c r="AH3519" i="2"/>
  <c r="AI3519" i="2"/>
  <c r="AJ3519" i="2"/>
  <c r="AF3520" i="2"/>
  <c r="AK3520" i="2"/>
  <c r="AG3520" i="2"/>
  <c r="AH3520" i="2"/>
  <c r="AI3520" i="2"/>
  <c r="AJ3520" i="2"/>
  <c r="AF3521" i="2"/>
  <c r="AK3521" i="2"/>
  <c r="AG3521" i="2"/>
  <c r="AL3521" i="2" s="1"/>
  <c r="AH3521" i="2"/>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c r="AG3525" i="2"/>
  <c r="AH3525" i="2"/>
  <c r="AI3525" i="2"/>
  <c r="AJ3525" i="2"/>
  <c r="AF3526" i="2"/>
  <c r="AK3526" i="2" s="1"/>
  <c r="AG3526" i="2"/>
  <c r="AH3526" i="2"/>
  <c r="AL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c r="AG3530" i="2"/>
  <c r="AL3530" i="2" s="1"/>
  <c r="AH3530" i="2"/>
  <c r="AI3530" i="2"/>
  <c r="AJ3530" i="2"/>
  <c r="AF3531" i="2"/>
  <c r="AK3531" i="2" s="1"/>
  <c r="AG3531" i="2"/>
  <c r="AL3531" i="2" s="1"/>
  <c r="AH3531" i="2"/>
  <c r="AI3531" i="2"/>
  <c r="AJ3531" i="2"/>
  <c r="AF3532" i="2"/>
  <c r="AK3532" i="2" s="1"/>
  <c r="AL3532" i="2" s="1"/>
  <c r="AG3532" i="2"/>
  <c r="AH3532" i="2"/>
  <c r="AI3532" i="2"/>
  <c r="AJ3532" i="2"/>
  <c r="AF3533" i="2"/>
  <c r="AK3533" i="2"/>
  <c r="AG3533" i="2"/>
  <c r="AH3533" i="2"/>
  <c r="AI3533" i="2"/>
  <c r="AJ3533" i="2"/>
  <c r="AF3534" i="2"/>
  <c r="AK3534" i="2" s="1"/>
  <c r="AG3534" i="2"/>
  <c r="AH3534" i="2"/>
  <c r="AI3534" i="2"/>
  <c r="AJ3534" i="2"/>
  <c r="AF3535" i="2"/>
  <c r="AK3535" i="2"/>
  <c r="AG3535" i="2"/>
  <c r="AL3535" i="2" s="1"/>
  <c r="AH3535" i="2"/>
  <c r="AI3535" i="2"/>
  <c r="AJ3535" i="2"/>
  <c r="AF3536" i="2"/>
  <c r="AK3536" i="2"/>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s="1"/>
  <c r="AL3549" i="2" s="1"/>
  <c r="AG3549" i="2"/>
  <c r="AH3549" i="2"/>
  <c r="AI3549" i="2"/>
  <c r="AJ3549" i="2"/>
  <c r="AF3550" i="2"/>
  <c r="AK3550" i="2"/>
  <c r="AG3550" i="2"/>
  <c r="AH3550" i="2"/>
  <c r="AI3550" i="2"/>
  <c r="AJ3550" i="2"/>
  <c r="AF3551" i="2"/>
  <c r="AK3551" i="2" s="1"/>
  <c r="AG3551" i="2"/>
  <c r="AH3551" i="2"/>
  <c r="AI3551" i="2"/>
  <c r="AJ3551" i="2"/>
  <c r="AF3552" i="2"/>
  <c r="AK3552" i="2"/>
  <c r="AG3552" i="2"/>
  <c r="AL3552" i="2" s="1"/>
  <c r="AH3552" i="2"/>
  <c r="AI3552" i="2"/>
  <c r="AJ3552" i="2"/>
  <c r="AF3553" i="2"/>
  <c r="AK3553" i="2"/>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c r="AG3571" i="2"/>
  <c r="AH3571" i="2"/>
  <c r="AL3571" i="2" s="1"/>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s="1"/>
  <c r="AG3579" i="2"/>
  <c r="AH3579" i="2"/>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L3583" i="2" s="1"/>
  <c r="AG3583" i="2"/>
  <c r="AH3583" i="2"/>
  <c r="AI3583" i="2"/>
  <c r="AJ3583" i="2"/>
  <c r="AF3584" i="2"/>
  <c r="AK3584" i="2"/>
  <c r="AG3584" i="2"/>
  <c r="AH3584" i="2"/>
  <c r="AI3584" i="2"/>
  <c r="AJ3584" i="2"/>
  <c r="AF3585" i="2"/>
  <c r="AK3585" i="2" s="1"/>
  <c r="AG3585" i="2"/>
  <c r="AH3585" i="2"/>
  <c r="AI3585" i="2"/>
  <c r="AJ3585" i="2"/>
  <c r="AF3586" i="2"/>
  <c r="AK3586" i="2" s="1"/>
  <c r="AL3586" i="2" s="1"/>
  <c r="AG3586" i="2"/>
  <c r="AH3586" i="2"/>
  <c r="AI3586" i="2"/>
  <c r="AJ3586" i="2"/>
  <c r="AF3587" i="2"/>
  <c r="AK3587" i="2" s="1"/>
  <c r="AG3587" i="2"/>
  <c r="AH3587" i="2"/>
  <c r="AI3587" i="2"/>
  <c r="AJ3587" i="2"/>
  <c r="AF3588" i="2"/>
  <c r="AK3588" i="2"/>
  <c r="AG3588" i="2"/>
  <c r="AH3588" i="2"/>
  <c r="AI3588" i="2"/>
  <c r="AJ3588" i="2"/>
  <c r="AF3589" i="2"/>
  <c r="AK3589" i="2" s="1"/>
  <c r="AL3589" i="2" s="1"/>
  <c r="AG3589" i="2"/>
  <c r="AH3589" i="2"/>
  <c r="AI3589" i="2"/>
  <c r="AJ3589" i="2"/>
  <c r="AF3590" i="2"/>
  <c r="AK3590" i="2" s="1"/>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s="1"/>
  <c r="AG3610" i="2"/>
  <c r="AH3610" i="2"/>
  <c r="AI3610" i="2"/>
  <c r="AJ3610" i="2"/>
  <c r="AF3611" i="2"/>
  <c r="AK3611" i="2"/>
  <c r="AG3611" i="2"/>
  <c r="AH3611" i="2"/>
  <c r="AL3611" i="2" s="1"/>
  <c r="AI3611" i="2"/>
  <c r="AJ3611" i="2"/>
  <c r="AF3612" i="2"/>
  <c r="AK3612" i="2" s="1"/>
  <c r="AG3612" i="2"/>
  <c r="AH3612" i="2"/>
  <c r="AI3612" i="2"/>
  <c r="AJ3612" i="2"/>
  <c r="AF3613" i="2"/>
  <c r="AK3613" i="2"/>
  <c r="AG3613" i="2"/>
  <c r="AH3613" i="2"/>
  <c r="AL3613" i="2" s="1"/>
  <c r="AI3613" i="2"/>
  <c r="AJ3613" i="2"/>
  <c r="AF3614" i="2"/>
  <c r="AK3614" i="2"/>
  <c r="AG3614" i="2"/>
  <c r="AH3614" i="2"/>
  <c r="AI3614" i="2"/>
  <c r="AJ3614" i="2"/>
  <c r="AF3615" i="2"/>
  <c r="AK3615" i="2"/>
  <c r="AG3615" i="2"/>
  <c r="AH3615" i="2"/>
  <c r="AI3615" i="2"/>
  <c r="AJ3615" i="2"/>
  <c r="AF3616" i="2"/>
  <c r="AK3616" i="2"/>
  <c r="AG3616" i="2"/>
  <c r="AL3616" i="2" s="1"/>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s="1"/>
  <c r="AG3624" i="2"/>
  <c r="AH3624" i="2"/>
  <c r="AI3624" i="2"/>
  <c r="AJ3624" i="2"/>
  <c r="AF3625" i="2"/>
  <c r="AK3625" i="2" s="1"/>
  <c r="AL3625" i="2" s="1"/>
  <c r="AG3625" i="2"/>
  <c r="AH3625" i="2"/>
  <c r="AI3625" i="2"/>
  <c r="AJ3625" i="2"/>
  <c r="AF3626" i="2"/>
  <c r="AK3626" i="2"/>
  <c r="AG3626" i="2"/>
  <c r="AH3626" i="2"/>
  <c r="AI3626" i="2"/>
  <c r="AJ3626" i="2"/>
  <c r="AF3627" i="2"/>
  <c r="AK3627" i="2" s="1"/>
  <c r="AG3627" i="2"/>
  <c r="AH3627" i="2"/>
  <c r="AI3627" i="2"/>
  <c r="AJ3627" i="2"/>
  <c r="AF3628" i="2"/>
  <c r="AK3628" i="2" s="1"/>
  <c r="AL3628" i="2" s="1"/>
  <c r="AG3628" i="2"/>
  <c r="AH3628" i="2"/>
  <c r="AI3628" i="2"/>
  <c r="AJ3628" i="2"/>
  <c r="AF3629" i="2"/>
  <c r="AK3629" i="2"/>
  <c r="AG3629" i="2"/>
  <c r="AH3629" i="2"/>
  <c r="AI3629" i="2"/>
  <c r="AJ3629" i="2"/>
  <c r="AF3630" i="2"/>
  <c r="AK3630" i="2" s="1"/>
  <c r="AG3630" i="2"/>
  <c r="AL3630" i="2" s="1"/>
  <c r="AH3630" i="2"/>
  <c r="AI3630" i="2"/>
  <c r="AJ3630" i="2"/>
  <c r="AF3631" i="2"/>
  <c r="AK3631" i="2"/>
  <c r="AG3631" i="2"/>
  <c r="AH3631" i="2"/>
  <c r="AI3631" i="2"/>
  <c r="AJ3631" i="2"/>
  <c r="AF3632" i="2"/>
  <c r="AK3632" i="2" s="1"/>
  <c r="AG3632" i="2"/>
  <c r="AH3632" i="2"/>
  <c r="AI3632" i="2"/>
  <c r="AJ3632" i="2"/>
  <c r="AF3633" i="2"/>
  <c r="AK3633" i="2" s="1"/>
  <c r="AG3633" i="2"/>
  <c r="AH3633" i="2"/>
  <c r="AI3633" i="2"/>
  <c r="AJ3633" i="2"/>
  <c r="AF3634" i="2"/>
  <c r="AK3634" i="2" s="1"/>
  <c r="AL3634" i="2" s="1"/>
  <c r="AG3634" i="2"/>
  <c r="AH3634" i="2"/>
  <c r="AI3634" i="2"/>
  <c r="AJ3634" i="2"/>
  <c r="AF3635" i="2"/>
  <c r="AK3635" i="2"/>
  <c r="AG3635" i="2"/>
  <c r="AH3635" i="2"/>
  <c r="AI3635" i="2"/>
  <c r="AJ3635" i="2"/>
  <c r="AF3636" i="2"/>
  <c r="AK3636" i="2" s="1"/>
  <c r="AG3636" i="2"/>
  <c r="AH3636" i="2"/>
  <c r="AI3636" i="2"/>
  <c r="AJ3636" i="2"/>
  <c r="AF3637" i="2"/>
  <c r="AK3637" i="2" s="1"/>
  <c r="AL3637" i="2" s="1"/>
  <c r="AG3637" i="2"/>
  <c r="AH3637" i="2"/>
  <c r="AI3637" i="2"/>
  <c r="AJ3637" i="2"/>
  <c r="AF3638" i="2"/>
  <c r="AK3638" i="2" s="1"/>
  <c r="AG3638" i="2"/>
  <c r="AH3638" i="2"/>
  <c r="AI3638" i="2"/>
  <c r="AJ3638" i="2"/>
  <c r="AF3639" i="2"/>
  <c r="AK3639" i="2"/>
  <c r="AG3639" i="2"/>
  <c r="AH3639" i="2"/>
  <c r="AI3639" i="2"/>
  <c r="AJ3639" i="2"/>
  <c r="AF3640" i="2"/>
  <c r="AK3640" i="2" s="1"/>
  <c r="AL3640" i="2" s="1"/>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s="1"/>
  <c r="AL3669" i="2" s="1"/>
  <c r="AG3669" i="2"/>
  <c r="AH3669" i="2"/>
  <c r="AI3669" i="2"/>
  <c r="AJ3669" i="2"/>
  <c r="AF3670" i="2"/>
  <c r="AK3670" i="2" s="1"/>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c r="AG3674" i="2"/>
  <c r="AH3674" i="2"/>
  <c r="AI3674" i="2"/>
  <c r="AJ3674" i="2"/>
  <c r="AF3675" i="2"/>
  <c r="AK3675" i="2" s="1"/>
  <c r="AL3675" i="2" s="1"/>
  <c r="AG3675" i="2"/>
  <c r="AH3675" i="2"/>
  <c r="AI3675" i="2"/>
  <c r="AJ3675" i="2"/>
  <c r="AF3676" i="2"/>
  <c r="AK3676" i="2"/>
  <c r="AG3676" i="2"/>
  <c r="AL3676" i="2" s="1"/>
  <c r="AH3676" i="2"/>
  <c r="AI3676" i="2"/>
  <c r="AJ3676" i="2"/>
  <c r="AF3677" i="2"/>
  <c r="AK3677" i="2" s="1"/>
  <c r="AG3677" i="2"/>
  <c r="AH3677" i="2"/>
  <c r="AI3677" i="2"/>
  <c r="AJ3677" i="2"/>
  <c r="AF3678" i="2"/>
  <c r="AK3678" i="2" s="1"/>
  <c r="AL3678" i="2" s="1"/>
  <c r="AG3678" i="2"/>
  <c r="AH3678" i="2"/>
  <c r="AI3678" i="2"/>
  <c r="AJ3678" i="2"/>
  <c r="AF3679" i="2"/>
  <c r="AK3679" i="2" s="1"/>
  <c r="AG3679" i="2"/>
  <c r="AH3679" i="2"/>
  <c r="AI3679" i="2"/>
  <c r="AJ3679" i="2"/>
  <c r="AF3680" i="2"/>
  <c r="AK3680" i="2"/>
  <c r="AG3680" i="2"/>
  <c r="AH3680" i="2"/>
  <c r="AI3680" i="2"/>
  <c r="AJ3680" i="2"/>
  <c r="AF3681" i="2"/>
  <c r="AK3681" i="2" s="1"/>
  <c r="AL3681" i="2" s="1"/>
  <c r="AG3681" i="2"/>
  <c r="AH3681" i="2"/>
  <c r="AI3681" i="2"/>
  <c r="AJ3681" i="2"/>
  <c r="AF3682" i="2"/>
  <c r="AK3682" i="2" s="1"/>
  <c r="AG3682" i="2"/>
  <c r="AH3682" i="2"/>
  <c r="AI3682" i="2"/>
  <c r="AJ3682" i="2"/>
  <c r="AF3683" i="2"/>
  <c r="AK3683" i="2" s="1"/>
  <c r="AL3683" i="2" s="1"/>
  <c r="AG3683" i="2"/>
  <c r="AH3683" i="2"/>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J3693" i="2"/>
  <c r="AF3694" i="2"/>
  <c r="AK3694" i="2"/>
  <c r="AG3694" i="2"/>
  <c r="AH3694" i="2"/>
  <c r="AI3694" i="2"/>
  <c r="AJ3694" i="2"/>
  <c r="AF3695" i="2"/>
  <c r="AK3695" i="2"/>
  <c r="AG3695" i="2"/>
  <c r="AH3695" i="2"/>
  <c r="AI3695" i="2"/>
  <c r="AJ3695" i="2"/>
  <c r="AL3695" i="2" s="1"/>
  <c r="AF3696" i="2"/>
  <c r="AK3696" i="2" s="1"/>
  <c r="AG3696" i="2"/>
  <c r="AH3696" i="2"/>
  <c r="AI3696" i="2"/>
  <c r="AJ3696" i="2"/>
  <c r="AF3697" i="2"/>
  <c r="AK3697" i="2"/>
  <c r="AG3697" i="2"/>
  <c r="AH3697" i="2"/>
  <c r="AI3697" i="2"/>
  <c r="AJ3697" i="2"/>
  <c r="AF3698" i="2"/>
  <c r="AK3698" i="2" s="1"/>
  <c r="AG3698" i="2"/>
  <c r="AH3698" i="2"/>
  <c r="AI3698" i="2"/>
  <c r="AJ3698" i="2"/>
  <c r="AF3699" i="2"/>
  <c r="AK3699" i="2" s="1"/>
  <c r="AG3699" i="2"/>
  <c r="AH3699" i="2"/>
  <c r="AI3699" i="2"/>
  <c r="AJ3699" i="2"/>
  <c r="AL3699" i="2" s="1"/>
  <c r="AF3700" i="2"/>
  <c r="AK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c r="AG3709" i="2"/>
  <c r="AH3709" i="2"/>
  <c r="AI3709" i="2"/>
  <c r="AJ3709" i="2"/>
  <c r="AF3710" i="2"/>
  <c r="AK3710" i="2"/>
  <c r="AG3710" i="2"/>
  <c r="AL3710" i="2" s="1"/>
  <c r="AH3710" i="2"/>
  <c r="AI3710" i="2"/>
  <c r="AJ3710" i="2"/>
  <c r="AF3711" i="2"/>
  <c r="AK3711" i="2" s="1"/>
  <c r="AG3711" i="2"/>
  <c r="AH3711" i="2"/>
  <c r="AI3711" i="2"/>
  <c r="AJ3711" i="2"/>
  <c r="AF3712" i="2"/>
  <c r="AK3712" i="2" s="1"/>
  <c r="AG3712" i="2"/>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c r="AG3716" i="2"/>
  <c r="AL3716" i="2" s="1"/>
  <c r="AH3716" i="2"/>
  <c r="AI3716" i="2"/>
  <c r="AJ3716" i="2"/>
  <c r="AF3717" i="2"/>
  <c r="AK3717" i="2" s="1"/>
  <c r="AG3717" i="2"/>
  <c r="AH3717" i="2"/>
  <c r="AI3717" i="2"/>
  <c r="AJ3717" i="2"/>
  <c r="AF3718" i="2"/>
  <c r="AK3718" i="2" s="1"/>
  <c r="AG3718" i="2"/>
  <c r="AH3718" i="2"/>
  <c r="AI3718" i="2"/>
  <c r="AJ3718" i="2"/>
  <c r="AF3719" i="2"/>
  <c r="AK3719" i="2"/>
  <c r="AL3719" i="2" s="1"/>
  <c r="AG3719" i="2"/>
  <c r="AH3719" i="2"/>
  <c r="AI3719" i="2"/>
  <c r="AJ3719" i="2"/>
  <c r="AF3720" i="2"/>
  <c r="AK3720" i="2" s="1"/>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c r="AG3725" i="2"/>
  <c r="AH3725" i="2"/>
  <c r="AI3725" i="2"/>
  <c r="AJ3725" i="2"/>
  <c r="AF3726" i="2"/>
  <c r="AK3726" i="2"/>
  <c r="AG3726" i="2"/>
  <c r="AH3726" i="2"/>
  <c r="AI3726" i="2"/>
  <c r="AJ3726" i="2"/>
  <c r="AL3726" i="2" s="1"/>
  <c r="AF3727" i="2"/>
  <c r="AK3727" i="2" s="1"/>
  <c r="AG3727" i="2"/>
  <c r="AH3727" i="2"/>
  <c r="AI3727" i="2"/>
  <c r="AJ3727" i="2"/>
  <c r="AF3728" i="2"/>
  <c r="AK3728" i="2"/>
  <c r="AL3728" i="2" s="1"/>
  <c r="AG3728" i="2"/>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c r="AG3733" i="2"/>
  <c r="AL3733" i="2" s="1"/>
  <c r="AH3733" i="2"/>
  <c r="AI3733" i="2"/>
  <c r="AJ3733" i="2"/>
  <c r="AF3734" i="2"/>
  <c r="AK3734" i="2"/>
  <c r="AG3734" i="2"/>
  <c r="AH3734" i="2"/>
  <c r="AI3734" i="2"/>
  <c r="AL3734" i="2" s="1"/>
  <c r="AJ3734" i="2"/>
  <c r="AF3735" i="2"/>
  <c r="AK3735" i="2"/>
  <c r="AG3735" i="2"/>
  <c r="AL3735" i="2" s="1"/>
  <c r="AH3735" i="2"/>
  <c r="AI3735" i="2"/>
  <c r="AJ3735" i="2"/>
  <c r="AF3736" i="2"/>
  <c r="AK3736" i="2" s="1"/>
  <c r="AL3736" i="2" s="1"/>
  <c r="AG3736" i="2"/>
  <c r="AH3736" i="2"/>
  <c r="AI3736" i="2"/>
  <c r="AJ3736" i="2"/>
  <c r="AF3737" i="2"/>
  <c r="AK3737" i="2"/>
  <c r="AG3737" i="2"/>
  <c r="AH3737" i="2"/>
  <c r="AI3737" i="2"/>
  <c r="AJ3737" i="2"/>
  <c r="AF3738" i="2"/>
  <c r="AK3738" i="2" s="1"/>
  <c r="AG3738" i="2"/>
  <c r="AH3738" i="2"/>
  <c r="AI3738" i="2"/>
  <c r="AJ3738" i="2"/>
  <c r="AF3739" i="2"/>
  <c r="AK3739" i="2" s="1"/>
  <c r="AL3739" i="2" s="1"/>
  <c r="AG3739" i="2"/>
  <c r="AH3739" i="2"/>
  <c r="AI3739" i="2"/>
  <c r="AJ3739" i="2"/>
  <c r="AF3740" i="2"/>
  <c r="AK3740" i="2" s="1"/>
  <c r="AG3740" i="2"/>
  <c r="AH3740" i="2"/>
  <c r="AI3740" i="2"/>
  <c r="AJ3740" i="2"/>
  <c r="AF3741" i="2"/>
  <c r="AK3741" i="2" s="1"/>
  <c r="AG3741" i="2"/>
  <c r="AH3741" i="2"/>
  <c r="AL3741" i="2" s="1"/>
  <c r="AI3741" i="2"/>
  <c r="AJ3741" i="2"/>
  <c r="AF3742" i="2"/>
  <c r="AK3742" i="2"/>
  <c r="AL3742" i="2" s="1"/>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c r="AG3751" i="2"/>
  <c r="AL3751" i="2" s="1"/>
  <c r="AH3751" i="2"/>
  <c r="AI3751" i="2"/>
  <c r="AJ3751" i="2"/>
  <c r="AF3752" i="2"/>
  <c r="AK3752" i="2" s="1"/>
  <c r="AL3752" i="2" s="1"/>
  <c r="AG3752" i="2"/>
  <c r="AH3752" i="2"/>
  <c r="AI3752" i="2"/>
  <c r="AJ3752" i="2"/>
  <c r="AF3753" i="2"/>
  <c r="AK3753" i="2" s="1"/>
  <c r="AG3753" i="2"/>
  <c r="AH3753" i="2"/>
  <c r="AI3753" i="2"/>
  <c r="AJ3753" i="2"/>
  <c r="AF3754" i="2"/>
  <c r="AK3754" i="2" s="1"/>
  <c r="AG3754" i="2"/>
  <c r="AH3754" i="2"/>
  <c r="AI3754" i="2"/>
  <c r="AJ3754" i="2"/>
  <c r="AF3755" i="2"/>
  <c r="AK3755" i="2"/>
  <c r="AG3755" i="2"/>
  <c r="AH3755" i="2"/>
  <c r="AI3755" i="2"/>
  <c r="AJ3755" i="2"/>
  <c r="AF3756" i="2"/>
  <c r="AK3756" i="2"/>
  <c r="AG3756" i="2"/>
  <c r="AH3756" i="2"/>
  <c r="AI3756" i="2"/>
  <c r="AJ3756" i="2"/>
  <c r="AF3757" i="2"/>
  <c r="AK3757" i="2"/>
  <c r="AG3757" i="2"/>
  <c r="AH3757" i="2"/>
  <c r="AL3757" i="2" s="1"/>
  <c r="AI3757" i="2"/>
  <c r="AJ3757" i="2"/>
  <c r="AF3758" i="2"/>
  <c r="AK3758" i="2" s="1"/>
  <c r="AG3758" i="2"/>
  <c r="AH3758" i="2"/>
  <c r="AI3758" i="2"/>
  <c r="AL3758" i="2"/>
  <c r="AJ3758" i="2"/>
  <c r="AF3759" i="2"/>
  <c r="AK3759" i="2"/>
  <c r="AG3759" i="2"/>
  <c r="AH3759" i="2"/>
  <c r="AI3759" i="2"/>
  <c r="AJ3759" i="2"/>
  <c r="AF3760" i="2"/>
  <c r="AK3760" i="2" s="1"/>
  <c r="AG3760" i="2"/>
  <c r="AH3760" i="2"/>
  <c r="AI3760" i="2"/>
  <c r="AJ3760" i="2"/>
  <c r="AF3761" i="2"/>
  <c r="AK3761" i="2"/>
  <c r="AG3761" i="2"/>
  <c r="AH3761" i="2"/>
  <c r="AL3761" i="2" s="1"/>
  <c r="AI3761" i="2"/>
  <c r="AJ3761" i="2"/>
  <c r="AF3762" i="2"/>
  <c r="AK3762" i="2"/>
  <c r="AG3762" i="2"/>
  <c r="AH3762" i="2"/>
  <c r="AI3762" i="2"/>
  <c r="AJ3762" i="2"/>
  <c r="AF3763" i="2"/>
  <c r="AK3763" i="2"/>
  <c r="AG3763" i="2"/>
  <c r="AH3763" i="2"/>
  <c r="AI3763" i="2"/>
  <c r="AJ3763" i="2"/>
  <c r="AF3764" i="2"/>
  <c r="AK3764" i="2"/>
  <c r="AG3764" i="2"/>
  <c r="AH3764" i="2"/>
  <c r="AI3764" i="2"/>
  <c r="AJ3764" i="2"/>
  <c r="AL3764" i="2" s="1"/>
  <c r="AF3765" i="2"/>
  <c r="AK3765" i="2" s="1"/>
  <c r="AG3765" i="2"/>
  <c r="AH3765" i="2"/>
  <c r="AI3765" i="2"/>
  <c r="AJ3765" i="2"/>
  <c r="AF3766" i="2"/>
  <c r="AK3766" i="2"/>
  <c r="AL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c r="AG3773" i="2"/>
  <c r="AH3773" i="2"/>
  <c r="AI3773" i="2"/>
  <c r="AJ3773" i="2"/>
  <c r="AF3774" i="2"/>
  <c r="AK3774" i="2" s="1"/>
  <c r="AL3774" i="2" s="1"/>
  <c r="AG3774" i="2"/>
  <c r="AH3774" i="2"/>
  <c r="AI3774" i="2"/>
  <c r="AJ3774" i="2"/>
  <c r="AF3775" i="2"/>
  <c r="AK3775" i="2"/>
  <c r="AG3775" i="2"/>
  <c r="AH3775" i="2"/>
  <c r="AL3775" i="2" s="1"/>
  <c r="AI3775" i="2"/>
  <c r="AJ3775" i="2"/>
  <c r="AF3776" i="2"/>
  <c r="AK3776" i="2"/>
  <c r="AG3776" i="2"/>
  <c r="AL3776" i="2" s="1"/>
  <c r="AH3776" i="2"/>
  <c r="AI3776" i="2"/>
  <c r="AJ3776" i="2"/>
  <c r="AF3777" i="2"/>
  <c r="AK3777" i="2"/>
  <c r="AG3777" i="2"/>
  <c r="AH3777" i="2"/>
  <c r="AI3777" i="2"/>
  <c r="AL3777" i="2" s="1"/>
  <c r="AJ3777" i="2"/>
  <c r="AF3778" i="2"/>
  <c r="AK3778" i="2"/>
  <c r="AG3778" i="2"/>
  <c r="AH3778" i="2"/>
  <c r="AI3778" i="2"/>
  <c r="AJ3778" i="2"/>
  <c r="AF3779" i="2"/>
  <c r="AK3779" i="2" s="1"/>
  <c r="AL3779" i="2" s="1"/>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c r="AG3789" i="2"/>
  <c r="AH3789" i="2"/>
  <c r="AI3789" i="2"/>
  <c r="AJ3789" i="2"/>
  <c r="AF3790" i="2"/>
  <c r="AK3790" i="2"/>
  <c r="AG3790" i="2"/>
  <c r="AH3790" i="2"/>
  <c r="AI3790" i="2"/>
  <c r="AJ3790" i="2"/>
  <c r="AL3790" i="2" s="1"/>
  <c r="AF3791" i="2"/>
  <c r="AK3791" i="2" s="1"/>
  <c r="AG3791" i="2"/>
  <c r="AH3791" i="2"/>
  <c r="AI3791" i="2"/>
  <c r="AJ3791" i="2"/>
  <c r="AF3792" i="2"/>
  <c r="AK3792" i="2"/>
  <c r="AG3792" i="2"/>
  <c r="AH3792" i="2"/>
  <c r="AI3792" i="2"/>
  <c r="AJ3792" i="2"/>
  <c r="AF3793" i="2"/>
  <c r="AK3793" i="2" s="1"/>
  <c r="AL3793" i="2" s="1"/>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c r="AG3804" i="2"/>
  <c r="AL3804" i="2" s="1"/>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c r="AG3809" i="2"/>
  <c r="AL3809" i="2" s="1"/>
  <c r="AH3809" i="2"/>
  <c r="AI3809" i="2"/>
  <c r="AJ3809" i="2"/>
  <c r="AF3810" i="2"/>
  <c r="AK3810" i="2"/>
  <c r="AG3810" i="2"/>
  <c r="AL3810" i="2" s="1"/>
  <c r="AH3810" i="2"/>
  <c r="AI3810" i="2"/>
  <c r="AJ3810" i="2"/>
  <c r="AF3811" i="2"/>
  <c r="AK3811" i="2" s="1"/>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L3819" i="2" s="1"/>
  <c r="AF3820" i="2"/>
  <c r="AK3820" i="2" s="1"/>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c r="AG3825" i="2"/>
  <c r="AH3825" i="2"/>
  <c r="AI3825" i="2"/>
  <c r="AJ3825" i="2"/>
  <c r="AF3826" i="2"/>
  <c r="AK3826" i="2"/>
  <c r="AG3826" i="2"/>
  <c r="AH3826" i="2"/>
  <c r="AI3826" i="2"/>
  <c r="AJ3826" i="2"/>
  <c r="AF3827" i="2"/>
  <c r="AK3827" i="2"/>
  <c r="AG3827" i="2"/>
  <c r="AL3827" i="2" s="1"/>
  <c r="AH3827" i="2"/>
  <c r="AI3827" i="2"/>
  <c r="AJ3827" i="2"/>
  <c r="AF3828" i="2"/>
  <c r="AK3828" i="2" s="1"/>
  <c r="AG3828" i="2"/>
  <c r="AH3828" i="2"/>
  <c r="AI3828" i="2"/>
  <c r="AJ3828" i="2"/>
  <c r="AF3829" i="2"/>
  <c r="AK3829" i="2" s="1"/>
  <c r="AG3829" i="2"/>
  <c r="AH3829" i="2"/>
  <c r="AI3829" i="2"/>
  <c r="AJ3829" i="2"/>
  <c r="AF3830" i="2"/>
  <c r="AG3830" i="2"/>
  <c r="AL3830" i="2" s="1"/>
  <c r="AH3830" i="2"/>
  <c r="AI3830" i="2"/>
  <c r="AJ3830" i="2"/>
  <c r="AK3830" i="2"/>
  <c r="AF3831" i="2"/>
  <c r="AK3831" i="2" s="1"/>
  <c r="AG3831" i="2"/>
  <c r="AH3831" i="2"/>
  <c r="AI3831" i="2"/>
  <c r="AJ3831" i="2"/>
  <c r="AF3832" i="2"/>
  <c r="AK3832" i="2" s="1"/>
  <c r="AG3832" i="2"/>
  <c r="AH3832" i="2"/>
  <c r="AI3832" i="2"/>
  <c r="AJ3832" i="2"/>
  <c r="AF3833" i="2"/>
  <c r="AK3833" i="2"/>
  <c r="AG3833" i="2"/>
  <c r="AH3833" i="2"/>
  <c r="AI3833" i="2"/>
  <c r="AJ3833" i="2"/>
  <c r="AF3834" i="2"/>
  <c r="AK3834" i="2" s="1"/>
  <c r="AG3834" i="2"/>
  <c r="AH3834" i="2"/>
  <c r="AI3834" i="2"/>
  <c r="AJ3834" i="2"/>
  <c r="AF3835" i="2"/>
  <c r="AK3835" i="2"/>
  <c r="AG3835" i="2"/>
  <c r="AL3835" i="2" s="1"/>
  <c r="AH3835" i="2"/>
  <c r="AI3835" i="2"/>
  <c r="AJ3835" i="2"/>
  <c r="AF3836" i="2"/>
  <c r="AK3836" i="2" s="1"/>
  <c r="AL3836" i="2" s="1"/>
  <c r="AG3836" i="2"/>
  <c r="AH3836" i="2"/>
  <c r="AI3836" i="2"/>
  <c r="AJ3836" i="2"/>
  <c r="AF3837" i="2"/>
  <c r="AK3837" i="2" s="1"/>
  <c r="AG3837" i="2"/>
  <c r="AH3837" i="2"/>
  <c r="AI3837" i="2"/>
  <c r="AJ3837" i="2"/>
  <c r="AF3838" i="2"/>
  <c r="AK3838" i="2" s="1"/>
  <c r="AG3838" i="2"/>
  <c r="AH3838" i="2"/>
  <c r="AI3838" i="2"/>
  <c r="AJ3838" i="2"/>
  <c r="AF3839" i="2"/>
  <c r="AK3839" i="2"/>
  <c r="AL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L3849" i="2" s="1"/>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c r="AG3864" i="2"/>
  <c r="AL3864" i="2" s="1"/>
  <c r="AH3864" i="2"/>
  <c r="AI3864" i="2"/>
  <c r="AJ3864" i="2"/>
  <c r="AF3865" i="2"/>
  <c r="AK3865" i="2"/>
  <c r="AG3865" i="2"/>
  <c r="AH3865" i="2"/>
  <c r="AI3865" i="2"/>
  <c r="AL3865" i="2" s="1"/>
  <c r="AJ3865" i="2"/>
  <c r="AF3866" i="2"/>
  <c r="AK3866" i="2"/>
  <c r="AG3866" i="2"/>
  <c r="AH3866" i="2"/>
  <c r="AI3866" i="2"/>
  <c r="AJ3866" i="2"/>
  <c r="AF3867" i="2"/>
  <c r="AK3867" i="2" s="1"/>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s="1"/>
  <c r="AL3884" i="2" s="1"/>
  <c r="AG3884" i="2"/>
  <c r="AH3884" i="2"/>
  <c r="AI3884" i="2"/>
  <c r="AJ3884" i="2"/>
  <c r="AF3885" i="2"/>
  <c r="AK3885" i="2"/>
  <c r="AG3885" i="2"/>
  <c r="AH3885" i="2"/>
  <c r="AI3885" i="2"/>
  <c r="AJ3885" i="2"/>
  <c r="AF3886" i="2"/>
  <c r="AK3886" i="2"/>
  <c r="AG3886" i="2"/>
  <c r="AL3886" i="2" s="1"/>
  <c r="AH3886" i="2"/>
  <c r="AI3886" i="2"/>
  <c r="AJ3886" i="2"/>
  <c r="AF3887" i="2"/>
  <c r="AK3887" i="2"/>
  <c r="AG3887" i="2"/>
  <c r="AH3887" i="2"/>
  <c r="AI3887" i="2"/>
  <c r="AL3887" i="2" s="1"/>
  <c r="AJ3887" i="2"/>
  <c r="AF3888" i="2"/>
  <c r="AK3888" i="2"/>
  <c r="AG3888" i="2"/>
  <c r="AH3888" i="2"/>
  <c r="AI3888" i="2"/>
  <c r="AJ3888" i="2"/>
  <c r="AF3889" i="2"/>
  <c r="AK3889" i="2" s="1"/>
  <c r="AL3889" i="2" s="1"/>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L3900" i="2" s="1"/>
  <c r="AI3900" i="2"/>
  <c r="AJ3900" i="2"/>
  <c r="AF3901" i="2"/>
  <c r="AK3901" i="2" s="1"/>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c r="AG3907" i="2"/>
  <c r="AH3907" i="2"/>
  <c r="AI3907" i="2"/>
  <c r="AJ3907" i="2"/>
  <c r="AF3908" i="2"/>
  <c r="AK3908" i="2" s="1"/>
  <c r="AG3908" i="2"/>
  <c r="AH3908" i="2"/>
  <c r="AL3908" i="2" s="1"/>
  <c r="AI3908" i="2"/>
  <c r="AJ3908" i="2"/>
  <c r="AF3909" i="2"/>
  <c r="AK3909" i="2" s="1"/>
  <c r="AG3909" i="2"/>
  <c r="AH3909" i="2"/>
  <c r="AI3909" i="2"/>
  <c r="AJ3909" i="2"/>
  <c r="AF3910" i="2"/>
  <c r="AK3910" i="2" s="1"/>
  <c r="AL3910" i="2" s="1"/>
  <c r="AG3910" i="2"/>
  <c r="AH3910" i="2"/>
  <c r="AI3910" i="2"/>
  <c r="AJ3910" i="2"/>
  <c r="AF3911" i="2"/>
  <c r="AK3911" i="2"/>
  <c r="AG3911" i="2"/>
  <c r="AH3911" i="2"/>
  <c r="AI3911" i="2"/>
  <c r="AJ3911" i="2"/>
  <c r="AF3912" i="2"/>
  <c r="AK3912" i="2" s="1"/>
  <c r="AG3912" i="2"/>
  <c r="AH3912" i="2"/>
  <c r="AI3912" i="2"/>
  <c r="AJ3912" i="2"/>
  <c r="AF3913" i="2"/>
  <c r="AK3913" i="2" s="1"/>
  <c r="AL3913" i="2" s="1"/>
  <c r="AG3913" i="2"/>
  <c r="AH3913" i="2"/>
  <c r="AI3913" i="2"/>
  <c r="AJ3913" i="2"/>
  <c r="AF3914" i="2"/>
  <c r="AK3914" i="2" s="1"/>
  <c r="AG3914" i="2"/>
  <c r="AH3914" i="2"/>
  <c r="AI3914" i="2"/>
  <c r="AJ3914" i="2"/>
  <c r="AF3915" i="2"/>
  <c r="AK3915" i="2"/>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L3924" i="2" s="1"/>
  <c r="AH3924" i="2"/>
  <c r="AI3924" i="2"/>
  <c r="AJ3924" i="2"/>
  <c r="AF3925" i="2"/>
  <c r="AK3925" i="2"/>
  <c r="AG3925" i="2"/>
  <c r="AH3925" i="2"/>
  <c r="AI3925" i="2"/>
  <c r="AJ3925" i="2"/>
  <c r="AF3926" i="2"/>
  <c r="AK3926" i="2" s="1"/>
  <c r="AG3926" i="2"/>
  <c r="AH3926" i="2"/>
  <c r="AI3926" i="2"/>
  <c r="AJ3926" i="2"/>
  <c r="AF3927" i="2"/>
  <c r="AK3927" i="2" s="1"/>
  <c r="AG3927" i="2"/>
  <c r="AL3927" i="2" s="1"/>
  <c r="AH3927" i="2"/>
  <c r="AI3927" i="2"/>
  <c r="AJ3927" i="2"/>
  <c r="AF3928" i="2"/>
  <c r="AK3928" i="2" s="1"/>
  <c r="AG3928" i="2"/>
  <c r="AH3928" i="2"/>
  <c r="AL3928" i="2" s="1"/>
  <c r="AI3928" i="2"/>
  <c r="AJ3928" i="2"/>
  <c r="AF3929" i="2"/>
  <c r="AK3929" i="2"/>
  <c r="AG3929" i="2"/>
  <c r="AH3929" i="2"/>
  <c r="AI3929" i="2"/>
  <c r="AJ3929" i="2"/>
  <c r="AF3930" i="2"/>
  <c r="AK3930" i="2" s="1"/>
  <c r="AG3930" i="2"/>
  <c r="AH3930" i="2"/>
  <c r="AI3930" i="2"/>
  <c r="AJ3930" i="2"/>
  <c r="AF3931" i="2"/>
  <c r="AK3931" i="2" s="1"/>
  <c r="AG3931" i="2"/>
  <c r="AH3931" i="2"/>
  <c r="AI3931" i="2"/>
  <c r="AJ3931" i="2"/>
  <c r="AL3931" i="2" s="1"/>
  <c r="AF3932" i="2"/>
  <c r="AK3932" i="2" s="1"/>
  <c r="AG3932" i="2"/>
  <c r="AH3932" i="2"/>
  <c r="AI3932" i="2"/>
  <c r="AJ3932" i="2"/>
  <c r="AF3933" i="2"/>
  <c r="AK3933" i="2"/>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F3937" i="2"/>
  <c r="AK3937" i="2" s="1"/>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s="1"/>
  <c r="AG3945" i="2"/>
  <c r="AH3945" i="2"/>
  <c r="AI3945" i="2"/>
  <c r="AJ3945" i="2"/>
  <c r="AF3946" i="2"/>
  <c r="AK3946" i="2"/>
  <c r="AG3946" i="2"/>
  <c r="AL3946" i="2" s="1"/>
  <c r="AH3946" i="2"/>
  <c r="AI3946" i="2"/>
  <c r="AJ3946" i="2"/>
  <c r="AF3947" i="2"/>
  <c r="AK3947" i="2"/>
  <c r="AG3947" i="2"/>
  <c r="AH3947" i="2"/>
  <c r="AL3947" i="2" s="1"/>
  <c r="AI3947" i="2"/>
  <c r="AJ3947" i="2"/>
  <c r="AF3948" i="2"/>
  <c r="AK3948" i="2" s="1"/>
  <c r="AG3948" i="2"/>
  <c r="AH3948" i="2"/>
  <c r="AI3948" i="2"/>
  <c r="AJ3948" i="2"/>
  <c r="AF3949" i="2"/>
  <c r="AK3949" i="2"/>
  <c r="AG3949" i="2"/>
  <c r="AH3949" i="2"/>
  <c r="AI3949" i="2"/>
  <c r="AJ3949" i="2"/>
  <c r="AF3950" i="2"/>
  <c r="AK3950" i="2" s="1"/>
  <c r="AG3950" i="2"/>
  <c r="AH3950" i="2"/>
  <c r="AI3950" i="2"/>
  <c r="AJ3950" i="2"/>
  <c r="AF3951" i="2"/>
  <c r="AK3951" i="2"/>
  <c r="AG3951" i="2"/>
  <c r="AH3951" i="2"/>
  <c r="AI3951" i="2"/>
  <c r="AJ3951" i="2"/>
  <c r="AF3952" i="2"/>
  <c r="AK3952" i="2" s="1"/>
  <c r="AL3952" i="2" s="1"/>
  <c r="AG3952" i="2"/>
  <c r="AH3952" i="2"/>
  <c r="AI3952" i="2"/>
  <c r="AJ3952" i="2"/>
  <c r="AF3953" i="2"/>
  <c r="AK3953" i="2" s="1"/>
  <c r="AG3953" i="2"/>
  <c r="AH3953" i="2"/>
  <c r="AI3953" i="2"/>
  <c r="AL3953" i="2" s="1"/>
  <c r="AJ3953" i="2"/>
  <c r="AF3954" i="2"/>
  <c r="AK3954" i="2"/>
  <c r="AG3954" i="2"/>
  <c r="AH3954" i="2"/>
  <c r="AI3954" i="2"/>
  <c r="AJ3954" i="2"/>
  <c r="AF3955" i="2"/>
  <c r="AK3955" i="2" s="1"/>
  <c r="AG3955" i="2"/>
  <c r="AH3955" i="2"/>
  <c r="AI3955" i="2"/>
  <c r="AJ3955" i="2"/>
  <c r="AF3956" i="2"/>
  <c r="AK3956" i="2"/>
  <c r="AG3956" i="2"/>
  <c r="AH3956" i="2"/>
  <c r="AI3956" i="2"/>
  <c r="AL3956" i="2" s="1"/>
  <c r="AJ3956" i="2"/>
  <c r="AF3957" i="2"/>
  <c r="AK3957" i="2"/>
  <c r="AG3957" i="2"/>
  <c r="AH3957" i="2"/>
  <c r="AI3957" i="2"/>
  <c r="AJ3957" i="2"/>
  <c r="AF3958" i="2"/>
  <c r="AK3958" i="2"/>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s="1"/>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s="1"/>
  <c r="AL3976" i="2" s="1"/>
  <c r="AG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L3986" i="2" s="1"/>
  <c r="AI3986" i="2"/>
  <c r="AJ3986" i="2"/>
  <c r="AF3987" i="2"/>
  <c r="AK3987" i="2" s="1"/>
  <c r="AG3987" i="2"/>
  <c r="AH3987" i="2"/>
  <c r="AI3987" i="2"/>
  <c r="AJ3987" i="2"/>
  <c r="AF3988" i="2"/>
  <c r="AK3988" i="2" s="1"/>
  <c r="AL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s="1"/>
  <c r="AL3993" i="2" s="1"/>
  <c r="AG3993" i="2"/>
  <c r="AH3993" i="2"/>
  <c r="AI3993" i="2"/>
  <c r="AJ3993" i="2"/>
  <c r="AF3994" i="2"/>
  <c r="AK3994" i="2"/>
  <c r="AG3994" i="2"/>
  <c r="AH3994" i="2"/>
  <c r="AI3994" i="2"/>
  <c r="AJ3994" i="2"/>
  <c r="AF3995" i="2"/>
  <c r="AK3995" i="2" s="1"/>
  <c r="AL3995" i="2" s="1"/>
  <c r="AG3995" i="2"/>
  <c r="AH3995" i="2"/>
  <c r="AI3995" i="2"/>
  <c r="AJ3995" i="2"/>
  <c r="AF3996" i="2"/>
  <c r="AK3996" i="2" s="1"/>
  <c r="AG3996" i="2"/>
  <c r="AH3996" i="2"/>
  <c r="AI3996" i="2"/>
  <c r="AJ3996" i="2"/>
  <c r="AF3997" i="2"/>
  <c r="AK3997" i="2" s="1"/>
  <c r="AG3997" i="2"/>
  <c r="AH3997" i="2"/>
  <c r="AI3997" i="2"/>
  <c r="AJ3997" i="2"/>
  <c r="AF3998" i="2"/>
  <c r="AK3998" i="2"/>
  <c r="AL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s="1"/>
  <c r="AG4008" i="2"/>
  <c r="AH4008" i="2"/>
  <c r="AI4008" i="2"/>
  <c r="AJ4008" i="2"/>
  <c r="AL4008" i="2" s="1"/>
  <c r="AF4009" i="2"/>
  <c r="AK4009" i="2" s="1"/>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s="1"/>
  <c r="AL4021" i="2" s="1"/>
  <c r="AG4021" i="2"/>
  <c r="AH4021" i="2"/>
  <c r="AI4021" i="2"/>
  <c r="AJ4021" i="2"/>
  <c r="AF4022" i="2"/>
  <c r="AK4022" i="2"/>
  <c r="AG4022" i="2"/>
  <c r="AH4022" i="2"/>
  <c r="AI4022" i="2"/>
  <c r="AJ4022" i="2"/>
  <c r="AF4023" i="2"/>
  <c r="AK4023" i="2" s="1"/>
  <c r="AG4023" i="2"/>
  <c r="AH4023" i="2"/>
  <c r="AI4023" i="2"/>
  <c r="AJ4023" i="2"/>
  <c r="AF4024" i="2"/>
  <c r="AK4024" i="2" s="1"/>
  <c r="AL4024" i="2" s="1"/>
  <c r="AG4024" i="2"/>
  <c r="AH4024" i="2"/>
  <c r="AI4024" i="2"/>
  <c r="AJ4024" i="2"/>
  <c r="AF4025" i="2"/>
  <c r="AK4025" i="2" s="1"/>
  <c r="AG4025" i="2"/>
  <c r="AH4025" i="2"/>
  <c r="AI4025" i="2"/>
  <c r="AJ4025" i="2"/>
  <c r="AF4026" i="2"/>
  <c r="AK4026" i="2"/>
  <c r="AG4026" i="2"/>
  <c r="AH4026" i="2"/>
  <c r="AI4026" i="2"/>
  <c r="AJ4026" i="2"/>
  <c r="AF4027" i="2"/>
  <c r="AK4027" i="2" s="1"/>
  <c r="AL4027" i="2" s="1"/>
  <c r="AG4027" i="2"/>
  <c r="AH4027" i="2"/>
  <c r="AI4027" i="2"/>
  <c r="AJ4027" i="2"/>
  <c r="AF4028" i="2"/>
  <c r="AK4028" i="2" s="1"/>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s="1"/>
  <c r="AG4040" i="2"/>
  <c r="AH4040" i="2"/>
  <c r="AI4040" i="2"/>
  <c r="AJ4040" i="2"/>
  <c r="AL4040" i="2" s="1"/>
  <c r="AF4041" i="2"/>
  <c r="AK4041" i="2" s="1"/>
  <c r="AG4041" i="2"/>
  <c r="AH4041" i="2"/>
  <c r="AI4041" i="2"/>
  <c r="AJ4041" i="2"/>
  <c r="AF4042" i="2"/>
  <c r="AK4042" i="2"/>
  <c r="AG4042" i="2"/>
  <c r="AH4042" i="2"/>
  <c r="AI4042" i="2"/>
  <c r="AJ4042" i="2"/>
  <c r="AF4043" i="2"/>
  <c r="AK4043" i="2" s="1"/>
  <c r="AG4043" i="2"/>
  <c r="AL4043" i="2" s="1"/>
  <c r="AH4043" i="2"/>
  <c r="AI4043" i="2"/>
  <c r="AJ4043" i="2"/>
  <c r="AF4044" i="2"/>
  <c r="AK4044" i="2"/>
  <c r="AG4044" i="2"/>
  <c r="AH4044" i="2"/>
  <c r="AI4044" i="2"/>
  <c r="AJ4044" i="2"/>
  <c r="AF4045" i="2"/>
  <c r="AK4045" i="2"/>
  <c r="AG4045" i="2"/>
  <c r="AH4045" i="2"/>
  <c r="AI4045" i="2"/>
  <c r="AJ4045" i="2"/>
  <c r="AF4046" i="2"/>
  <c r="AK4046" i="2" s="1"/>
  <c r="AG4046" i="2"/>
  <c r="AH4046" i="2"/>
  <c r="AI4046" i="2"/>
  <c r="AJ4046" i="2"/>
  <c r="AF4047" i="2"/>
  <c r="AK4047" i="2"/>
  <c r="AG4047" i="2"/>
  <c r="AH4047" i="2"/>
  <c r="AI4047" i="2"/>
  <c r="AJ4047" i="2"/>
  <c r="AF4048" i="2"/>
  <c r="AK4048" i="2" s="1"/>
  <c r="AL4048" i="2" s="1"/>
  <c r="AG4048" i="2"/>
  <c r="AH4048" i="2"/>
  <c r="AI4048" i="2"/>
  <c r="AJ4048" i="2"/>
  <c r="AF4049" i="2"/>
  <c r="AK4049" i="2" s="1"/>
  <c r="AG4049" i="2"/>
  <c r="AH4049" i="2"/>
  <c r="AI4049" i="2"/>
  <c r="AJ4049" i="2"/>
  <c r="AF4050" i="2"/>
  <c r="AK4050" i="2" s="1"/>
  <c r="AG4050" i="2"/>
  <c r="AH4050" i="2"/>
  <c r="AI4050" i="2"/>
  <c r="AJ4050" i="2"/>
  <c r="AF4051" i="2"/>
  <c r="AK4051" i="2"/>
  <c r="AL4051" i="2" s="1"/>
  <c r="AG4051" i="2"/>
  <c r="AH4051" i="2"/>
  <c r="AI4051" i="2"/>
  <c r="AJ4051" i="2"/>
  <c r="AF4052" i="2"/>
  <c r="AK4052" i="2" s="1"/>
  <c r="AG4052" i="2"/>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G4072" i="2"/>
  <c r="AL4072" i="2" s="1"/>
  <c r="AH4072" i="2"/>
  <c r="AI4072" i="2"/>
  <c r="AJ4072" i="2"/>
  <c r="AF4073" i="2"/>
  <c r="AK4073" i="2" s="1"/>
  <c r="AG4073" i="2"/>
  <c r="AH4073" i="2"/>
  <c r="AI4073" i="2"/>
  <c r="AJ4073" i="2"/>
  <c r="AF4074" i="2"/>
  <c r="AK4074" i="2" s="1"/>
  <c r="AG4074" i="2"/>
  <c r="AH4074" i="2"/>
  <c r="AI4074" i="2"/>
  <c r="AJ4074" i="2"/>
  <c r="AF4075" i="2"/>
  <c r="AK4075" i="2" s="1"/>
  <c r="AG4075" i="2"/>
  <c r="AL4075" i="2" s="1"/>
  <c r="AH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s="1"/>
  <c r="AG4082" i="2"/>
  <c r="AH4082" i="2"/>
  <c r="AL4082" i="2" s="1"/>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c r="AL4098" i="2" s="1"/>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L4109" i="2" s="1"/>
  <c r="AF4110" i="2"/>
  <c r="AK4110" i="2" s="1"/>
  <c r="AG4110" i="2"/>
  <c r="AH4110" i="2"/>
  <c r="AI4110" i="2"/>
  <c r="AJ4110" i="2"/>
  <c r="AF4111" i="2"/>
  <c r="AK4111" i="2"/>
  <c r="AG4111" i="2"/>
  <c r="AH4111" i="2"/>
  <c r="AL4111" i="2" s="1"/>
  <c r="AI4111" i="2"/>
  <c r="AJ4111" i="2"/>
  <c r="AF4112" i="2"/>
  <c r="AK4112" i="2"/>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c r="AG4116" i="2"/>
  <c r="AL4116" i="2" s="1"/>
  <c r="AH4116" i="2"/>
  <c r="AI4116" i="2"/>
  <c r="AJ4116" i="2"/>
  <c r="AF4117" i="2"/>
  <c r="AG4117" i="2"/>
  <c r="AL4117" i="2" s="1"/>
  <c r="AH4117" i="2"/>
  <c r="AI4117" i="2"/>
  <c r="AJ4117" i="2"/>
  <c r="AK4117" i="2"/>
  <c r="AF4118" i="2"/>
  <c r="AK4118" i="2" s="1"/>
  <c r="AG4118" i="2"/>
  <c r="AH4118" i="2"/>
  <c r="AI4118" i="2"/>
  <c r="AJ4118" i="2"/>
  <c r="AF4119" i="2"/>
  <c r="AK4119" i="2" s="1"/>
  <c r="AG4119" i="2"/>
  <c r="AH4119" i="2"/>
  <c r="AI4119" i="2"/>
  <c r="AJ4119" i="2"/>
  <c r="AL4119" i="2" s="1"/>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c r="AL4124" i="2" s="1"/>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s="1"/>
  <c r="AG4129" i="2"/>
  <c r="AL4129" i="2" s="1"/>
  <c r="AH4129" i="2"/>
  <c r="AI4129" i="2"/>
  <c r="AJ4129" i="2"/>
  <c r="AF4130" i="2"/>
  <c r="AK4130" i="2"/>
  <c r="AG4130" i="2"/>
  <c r="AH4130" i="2"/>
  <c r="AI4130" i="2"/>
  <c r="AJ4130" i="2"/>
  <c r="AF4131" i="2"/>
  <c r="AK4131" i="2" s="1"/>
  <c r="AG4131" i="2"/>
  <c r="AH4131" i="2"/>
  <c r="AI4131" i="2"/>
  <c r="AJ4131" i="2"/>
  <c r="AL4131" i="2" s="1"/>
  <c r="AF4132" i="2"/>
  <c r="AK4132" i="2"/>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c r="AG4144" i="2"/>
  <c r="AH4144" i="2"/>
  <c r="AI4144" i="2"/>
  <c r="AJ4144" i="2"/>
  <c r="AF4145" i="2"/>
  <c r="AK4145" i="2"/>
  <c r="AG4145" i="2"/>
  <c r="AH4145" i="2"/>
  <c r="AI4145" i="2"/>
  <c r="AJ4145" i="2"/>
  <c r="AL4145" i="2" s="1"/>
  <c r="AF4146" i="2"/>
  <c r="AK4146" i="2" s="1"/>
  <c r="AG4146" i="2"/>
  <c r="AH4146" i="2"/>
  <c r="AI4146" i="2"/>
  <c r="AJ4146" i="2"/>
  <c r="AF4147" i="2"/>
  <c r="AK4147" i="2"/>
  <c r="AG4147" i="2"/>
  <c r="AL4147" i="2" s="1"/>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s="1"/>
  <c r="AG4162" i="2"/>
  <c r="AH4162" i="2"/>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c r="AG4170" i="2"/>
  <c r="AH4170" i="2"/>
  <c r="AL4170" i="2"/>
  <c r="AI4170" i="2"/>
  <c r="AJ4170" i="2"/>
  <c r="AF4171" i="2"/>
  <c r="AK4171" i="2" s="1"/>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c r="AG4181" i="2"/>
  <c r="AH4181" i="2"/>
  <c r="AI4181" i="2"/>
  <c r="AJ4181" i="2"/>
  <c r="AF4182" i="2"/>
  <c r="AK4182" i="2" s="1"/>
  <c r="AG4182" i="2"/>
  <c r="AL4182" i="2"/>
  <c r="AH4182" i="2"/>
  <c r="AI4182" i="2"/>
  <c r="AJ4182" i="2"/>
  <c r="AF4183" i="2"/>
  <c r="AK4183" i="2"/>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L4186" i="2" s="1"/>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s="1"/>
  <c r="AL4194" i="2" s="1"/>
  <c r="AG4194" i="2"/>
  <c r="AH4194" i="2"/>
  <c r="AI4194" i="2"/>
  <c r="AJ4194" i="2"/>
  <c r="AF4195" i="2"/>
  <c r="AK4195" i="2" s="1"/>
  <c r="AG4195" i="2"/>
  <c r="AH4195" i="2"/>
  <c r="AI4195" i="2"/>
  <c r="AJ4195" i="2"/>
  <c r="AF4196" i="2"/>
  <c r="AK4196" i="2"/>
  <c r="AG4196" i="2"/>
  <c r="AH4196" i="2"/>
  <c r="AI4196" i="2"/>
  <c r="AJ4196" i="2"/>
  <c r="AF4197" i="2"/>
  <c r="AK4197" i="2" s="1"/>
  <c r="AG4197" i="2"/>
  <c r="AH4197" i="2"/>
  <c r="AI4197" i="2"/>
  <c r="AJ4197" i="2"/>
  <c r="AF4198" i="2"/>
  <c r="AK4198" i="2" s="1"/>
  <c r="AG4198" i="2"/>
  <c r="AH4198" i="2"/>
  <c r="AI4198" i="2"/>
  <c r="AJ4198" i="2"/>
  <c r="AF4199" i="2"/>
  <c r="AK4199" i="2" s="1"/>
  <c r="AG4199" i="2"/>
  <c r="AH4199" i="2"/>
  <c r="AI4199" i="2"/>
  <c r="AJ4199" i="2"/>
  <c r="AF4200" i="2"/>
  <c r="AK4200" i="2" s="1"/>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s="1"/>
  <c r="AL4204" i="2" s="1"/>
  <c r="AG4204" i="2"/>
  <c r="AH4204" i="2"/>
  <c r="AI4204" i="2"/>
  <c r="AJ4204" i="2"/>
  <c r="AF4205" i="2"/>
  <c r="AK4205" i="2"/>
  <c r="AG4205" i="2"/>
  <c r="AH4205" i="2"/>
  <c r="AI4205" i="2"/>
  <c r="AJ4205" i="2"/>
  <c r="AF4206" i="2"/>
  <c r="AK4206" i="2" s="1"/>
  <c r="AG4206" i="2"/>
  <c r="AH4206" i="2"/>
  <c r="AI4206" i="2"/>
  <c r="AJ4206" i="2"/>
  <c r="AF4207" i="2"/>
  <c r="AK4207" i="2" s="1"/>
  <c r="AG4207" i="2"/>
  <c r="AH4207" i="2"/>
  <c r="AI4207" i="2"/>
  <c r="AJ4207" i="2"/>
  <c r="AF4208" i="2"/>
  <c r="AK4208" i="2" s="1"/>
  <c r="AG4208" i="2"/>
  <c r="AL4208" i="2" s="1"/>
  <c r="AH4208" i="2"/>
  <c r="AI4208" i="2"/>
  <c r="AJ4208" i="2"/>
  <c r="AF4209" i="2"/>
  <c r="AK4209" i="2" s="1"/>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s="1"/>
  <c r="AG4213" i="2"/>
  <c r="AL4213" i="2" s="1"/>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s="1"/>
  <c r="AG4219" i="2"/>
  <c r="AH4219" i="2"/>
  <c r="AI4219" i="2"/>
  <c r="AJ4219" i="2"/>
  <c r="AF4220" i="2"/>
  <c r="AK4220" i="2" s="1"/>
  <c r="AG4220" i="2"/>
  <c r="AH4220" i="2"/>
  <c r="AI4220" i="2"/>
  <c r="AJ4220" i="2"/>
  <c r="AF4221" i="2"/>
  <c r="AK4221" i="2" s="1"/>
  <c r="AG4221" i="2"/>
  <c r="AH4221" i="2"/>
  <c r="AI4221" i="2"/>
  <c r="AJ4221" i="2"/>
  <c r="AF4222" i="2"/>
  <c r="AK4222" i="2"/>
  <c r="AL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c r="AG4249" i="2"/>
  <c r="AH4249" i="2"/>
  <c r="AI4249" i="2"/>
  <c r="AJ4249" i="2"/>
  <c r="AF4250" i="2"/>
  <c r="AK4250" i="2"/>
  <c r="AG4250" i="2"/>
  <c r="AH4250" i="2"/>
  <c r="AI4250" i="2"/>
  <c r="AJ4250" i="2"/>
  <c r="AL4250" i="2" s="1"/>
  <c r="AF4251" i="2"/>
  <c r="AK4251" i="2" s="1"/>
  <c r="AG4251" i="2"/>
  <c r="AH4251" i="2"/>
  <c r="AI4251" i="2"/>
  <c r="AJ4251" i="2"/>
  <c r="AF4252" i="2"/>
  <c r="AK4252" i="2"/>
  <c r="AG4252" i="2"/>
  <c r="AH4252" i="2"/>
  <c r="AL4252" i="2" s="1"/>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s="1"/>
  <c r="AG4256" i="2"/>
  <c r="AH4256" i="2"/>
  <c r="AI4256" i="2"/>
  <c r="AJ4256" i="2"/>
  <c r="AF4257" i="2"/>
  <c r="AK4257" i="2"/>
  <c r="AG4257" i="2"/>
  <c r="AH4257" i="2"/>
  <c r="AL4257" i="2" s="1"/>
  <c r="AI4257" i="2"/>
  <c r="AJ4257" i="2"/>
  <c r="AF4258" i="2"/>
  <c r="AK4258" i="2"/>
  <c r="AG4258" i="2"/>
  <c r="AH4258" i="2"/>
  <c r="AI4258" i="2"/>
  <c r="AJ4258" i="2"/>
  <c r="AF4259" i="2"/>
  <c r="AK4259" i="2" s="1"/>
  <c r="AG4259" i="2"/>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c r="AG4263" i="2"/>
  <c r="AH4263" i="2"/>
  <c r="AI4263" i="2"/>
  <c r="AJ4263" i="2"/>
  <c r="AF4264" i="2"/>
  <c r="AK4264" i="2" s="1"/>
  <c r="AG4264" i="2"/>
  <c r="AH4264" i="2"/>
  <c r="AI4264" i="2"/>
  <c r="AJ4264" i="2"/>
  <c r="AF4265" i="2"/>
  <c r="AK4265" i="2" s="1"/>
  <c r="AG4265" i="2"/>
  <c r="AH4265" i="2"/>
  <c r="AI4265" i="2"/>
  <c r="AL4265" i="2" s="1"/>
  <c r="AJ4265" i="2"/>
  <c r="AF4266" i="2"/>
  <c r="AK4266" i="2"/>
  <c r="AG4266" i="2"/>
  <c r="AH4266" i="2"/>
  <c r="AI4266" i="2"/>
  <c r="AJ4266" i="2"/>
  <c r="AF4267" i="2"/>
  <c r="AK4267" i="2" s="1"/>
  <c r="AG4267" i="2"/>
  <c r="AH4267" i="2"/>
  <c r="AI4267" i="2"/>
  <c r="AJ4267" i="2"/>
  <c r="AF4268" i="2"/>
  <c r="AK4268" i="2"/>
  <c r="AG4268" i="2"/>
  <c r="AH4268" i="2"/>
  <c r="AI4268" i="2"/>
  <c r="AJ4268" i="2"/>
  <c r="AF4269" i="2"/>
  <c r="AK4269" i="2"/>
  <c r="AG4269" i="2"/>
  <c r="AH4269" i="2"/>
  <c r="AL4269" i="2" s="1"/>
  <c r="AI4269" i="2"/>
  <c r="AJ4269" i="2"/>
  <c r="AF4270" i="2"/>
  <c r="AK4270" i="2" s="1"/>
  <c r="AG4270" i="2"/>
  <c r="AH4270" i="2"/>
  <c r="AI4270" i="2"/>
  <c r="AJ4270" i="2"/>
  <c r="AF4271" i="2"/>
  <c r="AK4271" i="2"/>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c r="AG4280" i="2"/>
  <c r="AL4280" i="2" s="1"/>
  <c r="AH4280" i="2"/>
  <c r="AI4280" i="2"/>
  <c r="AJ4280" i="2"/>
  <c r="AF4281" i="2"/>
  <c r="AK4281" i="2" s="1"/>
  <c r="AG4281" i="2"/>
  <c r="AH4281" i="2"/>
  <c r="AI4281" i="2"/>
  <c r="AJ4281" i="2"/>
  <c r="AF4282" i="2"/>
  <c r="AK4282" i="2"/>
  <c r="AG4282" i="2"/>
  <c r="AH4282" i="2"/>
  <c r="AI4282" i="2"/>
  <c r="AJ4282" i="2"/>
  <c r="AF4283" i="2"/>
  <c r="AK4283" i="2" s="1"/>
  <c r="AG4283" i="2"/>
  <c r="AH4283" i="2"/>
  <c r="AI4283" i="2"/>
  <c r="AJ4283" i="2"/>
  <c r="AF4284" i="2"/>
  <c r="AK4284" i="2" s="1"/>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s="1"/>
  <c r="AG4289" i="2"/>
  <c r="AH4289" i="2"/>
  <c r="AI4289" i="2"/>
  <c r="AJ4289" i="2"/>
  <c r="AF4290" i="2"/>
  <c r="AK4290" i="2" s="1"/>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s="1"/>
  <c r="AG4294" i="2"/>
  <c r="AH4294" i="2"/>
  <c r="AI4294" i="2"/>
  <c r="AJ4294" i="2"/>
  <c r="AF4295" i="2"/>
  <c r="AK4295" i="2"/>
  <c r="AL4295" i="2" s="1"/>
  <c r="AG4295" i="2"/>
  <c r="AH4295" i="2"/>
  <c r="AI4295" i="2"/>
  <c r="AJ4295" i="2"/>
  <c r="AF4296" i="2"/>
  <c r="AK4296" i="2"/>
  <c r="AL4296" i="2"/>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s="1"/>
  <c r="AG4301" i="2"/>
  <c r="AL4301" i="2"/>
  <c r="AH4301" i="2"/>
  <c r="AI4301" i="2"/>
  <c r="AJ4301" i="2"/>
  <c r="AF4302" i="2"/>
  <c r="AK4302" i="2"/>
  <c r="AG4302" i="2"/>
  <c r="AH4302" i="2"/>
  <c r="AI4302" i="2"/>
  <c r="AJ4302" i="2"/>
  <c r="AF4303" i="2"/>
  <c r="AK4303" i="2"/>
  <c r="AG4303" i="2"/>
  <c r="AH4303" i="2"/>
  <c r="AI4303" i="2"/>
  <c r="AJ4303" i="2"/>
  <c r="AF4304" i="2"/>
  <c r="AK4304" i="2" s="1"/>
  <c r="AL4304" i="2" s="1"/>
  <c r="AG4304" i="2"/>
  <c r="AH4304" i="2"/>
  <c r="AI4304" i="2"/>
  <c r="AJ4304" i="2"/>
  <c r="AF4305" i="2"/>
  <c r="AK4305" i="2"/>
  <c r="AG4305" i="2"/>
  <c r="AH4305" i="2"/>
  <c r="AI4305" i="2"/>
  <c r="AJ4305" i="2"/>
  <c r="AF4306" i="2"/>
  <c r="AK4306" i="2" s="1"/>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H4311" i="2"/>
  <c r="AL4311" i="2" s="1"/>
  <c r="AI4311" i="2"/>
  <c r="AJ4311" i="2"/>
  <c r="AF4312" i="2"/>
  <c r="AK4312" i="2" s="1"/>
  <c r="AG4312" i="2"/>
  <c r="AH4312" i="2"/>
  <c r="AI4312" i="2"/>
  <c r="AJ4312" i="2"/>
  <c r="AF4313" i="2"/>
  <c r="AK4313" i="2" s="1"/>
  <c r="AL4313" i="2" s="1"/>
  <c r="AG4313" i="2"/>
  <c r="AH4313" i="2"/>
  <c r="AI4313" i="2"/>
  <c r="AJ4313" i="2"/>
  <c r="AF4314" i="2"/>
  <c r="AK4314" i="2"/>
  <c r="AG4314" i="2"/>
  <c r="AH4314" i="2"/>
  <c r="AI4314" i="2"/>
  <c r="AJ4314" i="2"/>
  <c r="AF4315" i="2"/>
  <c r="AK4315" i="2" s="1"/>
  <c r="AG4315" i="2"/>
  <c r="AH4315" i="2"/>
  <c r="AI4315" i="2"/>
  <c r="AJ4315" i="2"/>
  <c r="AF4316" i="2"/>
  <c r="AK4316" i="2" s="1"/>
  <c r="AL4316" i="2" s="1"/>
  <c r="AG4316" i="2"/>
  <c r="AH4316" i="2"/>
  <c r="AI4316" i="2"/>
  <c r="AJ4316" i="2"/>
  <c r="AF4317" i="2"/>
  <c r="AK4317" i="2" s="1"/>
  <c r="AG4317" i="2"/>
  <c r="AH4317" i="2"/>
  <c r="AI4317" i="2"/>
  <c r="AJ4317" i="2"/>
  <c r="AF4318" i="2"/>
  <c r="AK4318" i="2"/>
  <c r="AG4318" i="2"/>
  <c r="AH4318" i="2"/>
  <c r="AI4318" i="2"/>
  <c r="AJ4318" i="2"/>
  <c r="AF4319" i="2"/>
  <c r="AK4319" i="2"/>
  <c r="AG4319" i="2"/>
  <c r="AH4319" i="2"/>
  <c r="AI4319" i="2"/>
  <c r="AJ4319" i="2"/>
  <c r="AF4320" i="2"/>
  <c r="AK4320" i="2"/>
  <c r="AG4320" i="2"/>
  <c r="AH4320" i="2"/>
  <c r="AI4320" i="2"/>
  <c r="AJ4320" i="2"/>
  <c r="AF4321" i="2"/>
  <c r="AK4321" i="2" s="1"/>
  <c r="AG4321" i="2"/>
  <c r="AH4321" i="2"/>
  <c r="AI4321" i="2"/>
  <c r="AJ4321" i="2"/>
  <c r="AF4322" i="2"/>
  <c r="AK4322" i="2" s="1"/>
  <c r="AG4322" i="2"/>
  <c r="AL4322" i="2" s="1"/>
  <c r="AH4322" i="2"/>
  <c r="AI4322" i="2"/>
  <c r="AJ4322" i="2"/>
  <c r="AF4323" i="2"/>
  <c r="AK4323" i="2" s="1"/>
  <c r="AG4323" i="2"/>
  <c r="AH4323" i="2"/>
  <c r="AI4323" i="2"/>
  <c r="AJ4323" i="2"/>
  <c r="AF4324" i="2"/>
  <c r="AK4324" i="2"/>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s="1"/>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s="1"/>
  <c r="AG4333" i="2"/>
  <c r="AH4333" i="2"/>
  <c r="AI4333" i="2"/>
  <c r="AJ4333" i="2"/>
  <c r="AF4334" i="2"/>
  <c r="AK4334" i="2" s="1"/>
  <c r="AG4334" i="2"/>
  <c r="AH4334" i="2"/>
  <c r="AI4334" i="2"/>
  <c r="AJ4334" i="2"/>
  <c r="AF4335" i="2"/>
  <c r="AK4335" i="2" s="1"/>
  <c r="AG4335" i="2"/>
  <c r="AH4335" i="2"/>
  <c r="AI4335" i="2"/>
  <c r="AJ4335" i="2"/>
  <c r="AF4336" i="2"/>
  <c r="AK4336" i="2"/>
  <c r="AG4336" i="2"/>
  <c r="AH4336" i="2"/>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c r="AG4340" i="2"/>
  <c r="AH4340" i="2"/>
  <c r="AI4340" i="2"/>
  <c r="AJ4340" i="2"/>
  <c r="AF4341" i="2"/>
  <c r="AK4341" i="2" s="1"/>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s="1"/>
  <c r="AG4345" i="2"/>
  <c r="AH4345" i="2"/>
  <c r="AI4345" i="2"/>
  <c r="AJ4345" i="2"/>
  <c r="AF4346" i="2"/>
  <c r="AK4346" i="2" s="1"/>
  <c r="AG4346" i="2"/>
  <c r="AH4346" i="2"/>
  <c r="AI4346" i="2"/>
  <c r="AJ4346" i="2"/>
  <c r="AF4347" i="2"/>
  <c r="AK4347" i="2" s="1"/>
  <c r="AG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F4356" i="2"/>
  <c r="AK4356" i="2" s="1"/>
  <c r="AG4356" i="2"/>
  <c r="AH4356" i="2"/>
  <c r="AL4356" i="2" s="1"/>
  <c r="AI4356" i="2"/>
  <c r="AJ4356" i="2"/>
  <c r="AF4357" i="2"/>
  <c r="AK4357" i="2" s="1"/>
  <c r="AG4357" i="2"/>
  <c r="AH4357" i="2"/>
  <c r="AI4357" i="2"/>
  <c r="AJ4357" i="2"/>
  <c r="AF4358" i="2"/>
  <c r="AK4358" i="2"/>
  <c r="AG4358" i="2"/>
  <c r="AH4358" i="2"/>
  <c r="AI4358" i="2"/>
  <c r="AJ4358" i="2"/>
  <c r="AF4359" i="2"/>
  <c r="AK4359" i="2"/>
  <c r="AG4359" i="2"/>
  <c r="AH4359" i="2"/>
  <c r="AI4359" i="2"/>
  <c r="AJ4359" i="2"/>
  <c r="AF4360" i="2"/>
  <c r="AK4360" i="2"/>
  <c r="AG4360" i="2"/>
  <c r="AH4360" i="2"/>
  <c r="AI4360" i="2"/>
  <c r="AJ4360" i="2"/>
  <c r="AL4360" i="2" s="1"/>
  <c r="AF4361" i="2"/>
  <c r="AK4361" i="2" s="1"/>
  <c r="AG4361" i="2"/>
  <c r="AH4361" i="2"/>
  <c r="AI4361" i="2"/>
  <c r="AJ4361" i="2"/>
  <c r="AF4362" i="2"/>
  <c r="AK4362" i="2" s="1"/>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L4371" i="2" s="1"/>
  <c r="AG4371" i="2"/>
  <c r="AH4371" i="2"/>
  <c r="AI4371" i="2"/>
  <c r="AJ4371" i="2"/>
  <c r="AF4372" i="2"/>
  <c r="AK4372" i="2"/>
  <c r="AG4372" i="2"/>
  <c r="AL4372" i="2" s="1"/>
  <c r="AH4372" i="2"/>
  <c r="AI4372" i="2"/>
  <c r="AJ4372" i="2"/>
  <c r="AF4373" i="2"/>
  <c r="AK4373" i="2" s="1"/>
  <c r="AL4373" i="2"/>
  <c r="AG4373" i="2"/>
  <c r="AH4373" i="2"/>
  <c r="AI4373" i="2"/>
  <c r="AJ4373" i="2"/>
  <c r="AF4374" i="2"/>
  <c r="AK4374" i="2" s="1"/>
  <c r="AG4374" i="2"/>
  <c r="AH4374" i="2"/>
  <c r="AI4374" i="2"/>
  <c r="AJ4374" i="2"/>
  <c r="AF4375" i="2"/>
  <c r="AK4375" i="2"/>
  <c r="AG4375" i="2"/>
  <c r="AH4375" i="2"/>
  <c r="AI4375" i="2"/>
  <c r="AJ4375" i="2"/>
  <c r="AF4376" i="2"/>
  <c r="AK4376" i="2" s="1"/>
  <c r="AG4376" i="2"/>
  <c r="AH4376" i="2"/>
  <c r="AI4376" i="2"/>
  <c r="AJ4376" i="2"/>
  <c r="AF4377" i="2"/>
  <c r="AK4377" i="2" s="1"/>
  <c r="AG4377" i="2"/>
  <c r="AH4377" i="2"/>
  <c r="AI4377" i="2"/>
  <c r="AJ4377" i="2"/>
  <c r="AF4378" i="2"/>
  <c r="AK4378" i="2" s="1"/>
  <c r="AG4378" i="2"/>
  <c r="AH4378" i="2"/>
  <c r="AI4378" i="2"/>
  <c r="AJ4378" i="2"/>
  <c r="AF4379" i="2"/>
  <c r="AK4379" i="2"/>
  <c r="AG4379" i="2"/>
  <c r="AH4379" i="2"/>
  <c r="AI4379" i="2"/>
  <c r="AJ4379" i="2"/>
  <c r="AF4380" i="2"/>
  <c r="AK4380" i="2" s="1"/>
  <c r="AG4380" i="2"/>
  <c r="AL4380" i="2" s="1"/>
  <c r="AH4380" i="2"/>
  <c r="AI4380" i="2"/>
  <c r="AJ4380" i="2"/>
  <c r="AF4381" i="2"/>
  <c r="AK4381" i="2"/>
  <c r="AG4381" i="2"/>
  <c r="AH4381" i="2"/>
  <c r="AI4381" i="2"/>
  <c r="AJ4381" i="2"/>
  <c r="AF4382" i="2"/>
  <c r="AK4382" i="2"/>
  <c r="AG4382" i="2"/>
  <c r="AH4382" i="2"/>
  <c r="AI4382" i="2"/>
  <c r="AJ4382" i="2"/>
  <c r="AF4383" i="2"/>
  <c r="AK4383" i="2"/>
  <c r="AG4383" i="2"/>
  <c r="AH4383" i="2"/>
  <c r="AI4383" i="2"/>
  <c r="AL4383" i="2" s="1"/>
  <c r="AJ4383" i="2"/>
  <c r="AF4384" i="2"/>
  <c r="AK4384" i="2" s="1"/>
  <c r="AG4384" i="2"/>
  <c r="AH4384" i="2"/>
  <c r="AI4384" i="2"/>
  <c r="AJ4384" i="2"/>
  <c r="AF4385" i="2"/>
  <c r="AK4385" i="2" s="1"/>
  <c r="AG4385" i="2"/>
  <c r="AH4385" i="2"/>
  <c r="AI4385" i="2"/>
  <c r="AJ4385" i="2"/>
  <c r="AF4386" i="2"/>
  <c r="AK4386" i="2" s="1"/>
  <c r="AL4386" i="2" s="1"/>
  <c r="AG4386" i="2"/>
  <c r="AH4386" i="2"/>
  <c r="AI4386" i="2"/>
  <c r="AJ4386" i="2"/>
  <c r="AF4387" i="2"/>
  <c r="AK4387" i="2" s="1"/>
  <c r="AG4387" i="2"/>
  <c r="AH4387" i="2"/>
  <c r="AI4387" i="2"/>
  <c r="AJ4387" i="2"/>
  <c r="AF4388" i="2"/>
  <c r="AK4388" i="2" s="1"/>
  <c r="AG4388" i="2"/>
  <c r="AH4388" i="2"/>
  <c r="AI4388" i="2"/>
  <c r="AJ4388" i="2"/>
  <c r="AF4389" i="2"/>
  <c r="AK4389" i="2" s="1"/>
  <c r="AG4389" i="2"/>
  <c r="AL4389" i="2"/>
  <c r="AH4389" i="2"/>
  <c r="AI4389" i="2"/>
  <c r="AJ4389" i="2"/>
  <c r="AF4390" i="2"/>
  <c r="AK4390" i="2"/>
  <c r="AG4390" i="2"/>
  <c r="AH4390" i="2"/>
  <c r="AL4390" i="2" s="1"/>
  <c r="AI4390" i="2"/>
  <c r="AJ4390" i="2"/>
  <c r="AF4391" i="2"/>
  <c r="AK4391" i="2"/>
  <c r="AG4391" i="2"/>
  <c r="AH4391" i="2"/>
  <c r="AI4391" i="2"/>
  <c r="AJ4391" i="2"/>
  <c r="AF4392" i="2"/>
  <c r="AK4392" i="2"/>
  <c r="AG4392" i="2"/>
  <c r="AH4392" i="2"/>
  <c r="AI4392" i="2"/>
  <c r="AJ4392" i="2"/>
  <c r="AF4393" i="2"/>
  <c r="AK4393" i="2"/>
  <c r="AL4393" i="2" s="1"/>
  <c r="AG4393" i="2"/>
  <c r="AH4393" i="2"/>
  <c r="AI4393" i="2"/>
  <c r="AJ4393" i="2"/>
  <c r="AF4394" i="2"/>
  <c r="AK4394" i="2"/>
  <c r="AG4394" i="2"/>
  <c r="AH4394" i="2"/>
  <c r="AL4394" i="2" s="1"/>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c r="AG4402" i="2"/>
  <c r="AL4402" i="2" s="1"/>
  <c r="AH4402" i="2"/>
  <c r="AI4402" i="2"/>
  <c r="AJ4402" i="2"/>
  <c r="AF4403" i="2"/>
  <c r="AK4403" i="2"/>
  <c r="AG4403" i="2"/>
  <c r="AH4403" i="2"/>
  <c r="AI4403" i="2"/>
  <c r="AJ4403" i="2"/>
  <c r="AF4404" i="2"/>
  <c r="AK4404" i="2" s="1"/>
  <c r="AG4404" i="2"/>
  <c r="AH4404" i="2"/>
  <c r="AI4404" i="2"/>
  <c r="AJ4404" i="2"/>
  <c r="AF4405" i="2"/>
  <c r="AK4405" i="2"/>
  <c r="AG4405" i="2"/>
  <c r="AH4405" i="2"/>
  <c r="AI4405" i="2"/>
  <c r="AJ4405" i="2"/>
  <c r="AF4406" i="2"/>
  <c r="AK4406" i="2" s="1"/>
  <c r="AG4406" i="2"/>
  <c r="AH4406" i="2"/>
  <c r="AI4406" i="2"/>
  <c r="AJ4406" i="2"/>
  <c r="AF4407" i="2"/>
  <c r="AK4407" i="2"/>
  <c r="AG4407" i="2"/>
  <c r="AH4407" i="2"/>
  <c r="AL4407" i="2"/>
  <c r="AI4407" i="2"/>
  <c r="AJ4407" i="2"/>
  <c r="AF4408" i="2"/>
  <c r="AK4408" i="2"/>
  <c r="AG4408" i="2"/>
  <c r="AH4408" i="2"/>
  <c r="AI4408" i="2"/>
  <c r="AL4408" i="2" s="1"/>
  <c r="AJ4408" i="2"/>
  <c r="AF4409" i="2"/>
  <c r="AK4409" i="2" s="1"/>
  <c r="AG4409" i="2"/>
  <c r="AH4409" i="2"/>
  <c r="AI4409" i="2"/>
  <c r="AJ4409" i="2"/>
  <c r="AF4410" i="2"/>
  <c r="AK4410" i="2"/>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c r="AG4414" i="2"/>
  <c r="AH4414" i="2"/>
  <c r="AI4414" i="2"/>
  <c r="AJ4414" i="2"/>
  <c r="AF4415" i="2"/>
  <c r="AK4415" i="2"/>
  <c r="AL4415" i="2" s="1"/>
  <c r="AG4415" i="2"/>
  <c r="AH4415" i="2"/>
  <c r="AI4415" i="2"/>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s="1"/>
  <c r="AG4419" i="2"/>
  <c r="AH4419" i="2"/>
  <c r="AI4419" i="2"/>
  <c r="AJ4419" i="2"/>
  <c r="AF4420" i="2"/>
  <c r="AK4420" i="2" s="1"/>
  <c r="AG4420" i="2"/>
  <c r="AH4420" i="2"/>
  <c r="AI4420" i="2"/>
  <c r="AJ4420" i="2"/>
  <c r="AF4421" i="2"/>
  <c r="AK4421" i="2"/>
  <c r="AG4421" i="2"/>
  <c r="AH4421" i="2"/>
  <c r="AI4421" i="2"/>
  <c r="AL4421" i="2" s="1"/>
  <c r="AJ4421" i="2"/>
  <c r="AF4422" i="2"/>
  <c r="AK4422" i="2" s="1"/>
  <c r="AG4422" i="2"/>
  <c r="AH4422" i="2"/>
  <c r="AI4422" i="2"/>
  <c r="AJ4422" i="2"/>
  <c r="AF4423" i="2"/>
  <c r="AK4423" i="2"/>
  <c r="AG4423" i="2"/>
  <c r="AH4423" i="2"/>
  <c r="AL4423" i="2" s="1"/>
  <c r="AI4423" i="2"/>
  <c r="AJ4423" i="2"/>
  <c r="AF4424" i="2"/>
  <c r="AK4424" i="2" s="1"/>
  <c r="AG4424" i="2"/>
  <c r="AL4424" i="2" s="1"/>
  <c r="AH4424" i="2"/>
  <c r="AI4424" i="2"/>
  <c r="AJ4424" i="2"/>
  <c r="AF4425" i="2"/>
  <c r="AK4425" i="2"/>
  <c r="AG4425" i="2"/>
  <c r="AH4425" i="2"/>
  <c r="AI4425" i="2"/>
  <c r="AJ4425" i="2"/>
  <c r="AF4426" i="2"/>
  <c r="AK4426" i="2" s="1"/>
  <c r="AL4426" i="2" s="1"/>
  <c r="AG4426" i="2"/>
  <c r="AH4426" i="2"/>
  <c r="AI4426" i="2"/>
  <c r="AJ4426" i="2"/>
  <c r="AF4427" i="2"/>
  <c r="AK4427" i="2"/>
  <c r="AG4427" i="2"/>
  <c r="AH4427" i="2"/>
  <c r="AI4427" i="2"/>
  <c r="AJ4427" i="2"/>
  <c r="AF4428" i="2"/>
  <c r="AK4428" i="2" s="1"/>
  <c r="AG4428" i="2"/>
  <c r="AH4428" i="2"/>
  <c r="AI4428" i="2"/>
  <c r="AJ4428" i="2"/>
  <c r="AF4429" i="2"/>
  <c r="AK4429" i="2" s="1"/>
  <c r="AG4429" i="2"/>
  <c r="AH4429" i="2"/>
  <c r="AI4429" i="2"/>
  <c r="AJ4429" i="2"/>
  <c r="AF4430" i="2"/>
  <c r="AK4430" i="2" s="1"/>
  <c r="AG4430" i="2"/>
  <c r="AH4430" i="2"/>
  <c r="AL4430" i="2" s="1"/>
  <c r="AI4430" i="2"/>
  <c r="AJ4430" i="2"/>
  <c r="AF4431" i="2"/>
  <c r="AK4431" i="2"/>
  <c r="AG4431" i="2"/>
  <c r="AH4431" i="2"/>
  <c r="AI4431" i="2"/>
  <c r="AJ4431" i="2"/>
  <c r="AF4432" i="2"/>
  <c r="AK4432" i="2" s="1"/>
  <c r="AG4432" i="2"/>
  <c r="AL4432" i="2" s="1"/>
  <c r="AH4432" i="2"/>
  <c r="AI4432" i="2"/>
  <c r="AJ4432" i="2"/>
  <c r="AF4433" i="2"/>
  <c r="AK4433" i="2"/>
  <c r="AG4433" i="2"/>
  <c r="AH4433" i="2"/>
  <c r="AI4433" i="2"/>
  <c r="AJ4433" i="2"/>
  <c r="AF4434" i="2"/>
  <c r="AK4434" i="2"/>
  <c r="AG4434" i="2"/>
  <c r="AH4434" i="2"/>
  <c r="AI4434" i="2"/>
  <c r="AJ4434" i="2"/>
  <c r="AF4435" i="2"/>
  <c r="AK4435" i="2" s="1"/>
  <c r="AG4435" i="2"/>
  <c r="AH4435" i="2"/>
  <c r="AI4435" i="2"/>
  <c r="AJ4435" i="2"/>
  <c r="AF4436" i="2"/>
  <c r="AK4436" i="2"/>
  <c r="AG4436" i="2"/>
  <c r="AH4436" i="2"/>
  <c r="AI4436" i="2"/>
  <c r="AJ4436" i="2"/>
  <c r="AF4437" i="2"/>
  <c r="AK4437" i="2"/>
  <c r="AG4437" i="2"/>
  <c r="AL4437" i="2" s="1"/>
  <c r="AH4437" i="2"/>
  <c r="AI4437" i="2"/>
  <c r="AJ4437" i="2"/>
  <c r="AF4438" i="2"/>
  <c r="AK4438" i="2" s="1"/>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L4444" i="2"/>
  <c r="AH4444" i="2"/>
  <c r="AI4444" i="2"/>
  <c r="AJ4444" i="2"/>
  <c r="AF4445" i="2"/>
  <c r="AK4445" i="2" s="1"/>
  <c r="AG4445" i="2"/>
  <c r="AH4445" i="2"/>
  <c r="AI4445" i="2"/>
  <c r="AJ4445" i="2"/>
  <c r="AF4446" i="2"/>
  <c r="AK4446" i="2"/>
  <c r="AG4446" i="2"/>
  <c r="AH4446" i="2"/>
  <c r="AI4446" i="2"/>
  <c r="AJ4446" i="2"/>
  <c r="AF4447" i="2"/>
  <c r="AK4447" i="2"/>
  <c r="AG4447" i="2"/>
  <c r="AH4447" i="2"/>
  <c r="AI4447" i="2"/>
  <c r="AJ4447" i="2"/>
  <c r="AF4448" i="2"/>
  <c r="AK4448" i="2" s="1"/>
  <c r="AG4448" i="2"/>
  <c r="AH4448" i="2"/>
  <c r="AI4448" i="2"/>
  <c r="AJ4448" i="2"/>
  <c r="AF4449" i="2"/>
  <c r="AK4449" i="2"/>
  <c r="AG4449" i="2"/>
  <c r="AH4449" i="2"/>
  <c r="AI4449" i="2"/>
  <c r="AJ4449" i="2"/>
  <c r="AF4450" i="2"/>
  <c r="AK4450" i="2" s="1"/>
  <c r="AG4450" i="2"/>
  <c r="AH4450" i="2"/>
  <c r="AI4450" i="2"/>
  <c r="AJ4450" i="2"/>
  <c r="AL4450" i="2" s="1"/>
  <c r="AF4451" i="2"/>
  <c r="AK4451" i="2"/>
  <c r="AG4451" i="2"/>
  <c r="AH4451" i="2"/>
  <c r="AI4451" i="2"/>
  <c r="AL4451" i="2" s="1"/>
  <c r="AJ4451" i="2"/>
  <c r="AF4452" i="2"/>
  <c r="AK4452" i="2" s="1"/>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L4458" i="2" s="1"/>
  <c r="AI4458" i="2"/>
  <c r="AJ4458" i="2"/>
  <c r="AF4459" i="2"/>
  <c r="AK4459" i="2"/>
  <c r="AG4459" i="2"/>
  <c r="AH4459" i="2"/>
  <c r="AI4459" i="2"/>
  <c r="AJ4459" i="2"/>
  <c r="AF4460" i="2"/>
  <c r="AK4460" i="2" s="1"/>
  <c r="AG4460" i="2"/>
  <c r="AH4460" i="2"/>
  <c r="AL4460" i="2" s="1"/>
  <c r="AI4460" i="2"/>
  <c r="AJ4460" i="2"/>
  <c r="AF4461" i="2"/>
  <c r="AK4461" i="2"/>
  <c r="AG4461" i="2"/>
  <c r="AH4461" i="2"/>
  <c r="AI4461" i="2"/>
  <c r="AJ4461" i="2"/>
  <c r="AF4462" i="2"/>
  <c r="AK4462" i="2"/>
  <c r="AL4462" i="2" s="1"/>
  <c r="AG4462" i="2"/>
  <c r="AH4462" i="2"/>
  <c r="AI4462" i="2"/>
  <c r="AJ4462" i="2"/>
  <c r="AF4463" i="2"/>
  <c r="AK4463" i="2" s="1"/>
  <c r="AL4463" i="2"/>
  <c r="AG4463" i="2"/>
  <c r="AH4463" i="2"/>
  <c r="AI4463" i="2"/>
  <c r="AJ4463" i="2"/>
  <c r="AF4464" i="2"/>
  <c r="AK4464" i="2" s="1"/>
  <c r="AL4464" i="2" s="1"/>
  <c r="AG4464" i="2"/>
  <c r="AH4464" i="2"/>
  <c r="AI4464" i="2"/>
  <c r="AJ4464" i="2"/>
  <c r="AF4465" i="2"/>
  <c r="AK4465" i="2"/>
  <c r="AG4465" i="2"/>
  <c r="AL4465" i="2" s="1"/>
  <c r="AH4465" i="2"/>
  <c r="AI4465" i="2"/>
  <c r="AJ4465" i="2"/>
  <c r="AF4466" i="2"/>
  <c r="AK4466" i="2"/>
  <c r="AG4466" i="2"/>
  <c r="AH4466" i="2"/>
  <c r="AI4466" i="2"/>
  <c r="AJ4466" i="2"/>
  <c r="AF4467" i="2"/>
  <c r="AK4467" i="2"/>
  <c r="AG4467" i="2"/>
  <c r="AH4467" i="2"/>
  <c r="AL4467" i="2" s="1"/>
  <c r="AI4467" i="2"/>
  <c r="AJ4467" i="2"/>
  <c r="AF4468" i="2"/>
  <c r="AK4468" i="2" s="1"/>
  <c r="AG4468" i="2"/>
  <c r="AH4468" i="2"/>
  <c r="AI4468" i="2"/>
  <c r="AL4468" i="2" s="1"/>
  <c r="AJ4468" i="2"/>
  <c r="AF4469" i="2"/>
  <c r="AK4469" i="2"/>
  <c r="AG4469" i="2"/>
  <c r="AH4469" i="2"/>
  <c r="AI4469" i="2"/>
  <c r="AJ4469" i="2"/>
  <c r="AF4470" i="2"/>
  <c r="AK4470" i="2" s="1"/>
  <c r="AL4470" i="2" s="1"/>
  <c r="AG4470" i="2"/>
  <c r="AH4470" i="2"/>
  <c r="AI4470" i="2"/>
  <c r="AJ4470" i="2"/>
  <c r="AF4471" i="2"/>
  <c r="AK4471" i="2"/>
  <c r="AG4471" i="2"/>
  <c r="AL4471" i="2" s="1"/>
  <c r="AH4471" i="2"/>
  <c r="AI4471" i="2"/>
  <c r="AJ4471" i="2"/>
  <c r="AF4472" i="2"/>
  <c r="AK4472" i="2" s="1"/>
  <c r="AG4472" i="2"/>
  <c r="AH4472" i="2"/>
  <c r="AL4472" i="2" s="1"/>
  <c r="AI4472" i="2"/>
  <c r="AJ4472" i="2"/>
  <c r="AF4473" i="2"/>
  <c r="AK4473" i="2"/>
  <c r="AG4473" i="2"/>
  <c r="AL4473" i="2" s="1"/>
  <c r="AH4473" i="2"/>
  <c r="AI4473" i="2"/>
  <c r="AJ4473" i="2"/>
  <c r="AF4474" i="2"/>
  <c r="AK4474" i="2" s="1"/>
  <c r="AG4474" i="2"/>
  <c r="AH4474" i="2"/>
  <c r="AI4474" i="2"/>
  <c r="AJ4474" i="2"/>
  <c r="AF4475" i="2"/>
  <c r="AK4475" i="2"/>
  <c r="AG4475" i="2"/>
  <c r="AH4475" i="2"/>
  <c r="AI4475" i="2"/>
  <c r="AL4475" i="2" s="1"/>
  <c r="AJ4475" i="2"/>
  <c r="AF4476" i="2"/>
  <c r="AK4476" i="2" s="1"/>
  <c r="AG4476" i="2"/>
  <c r="AL4476" i="2" s="1"/>
  <c r="AH4476" i="2"/>
  <c r="AI4476" i="2"/>
  <c r="AJ4476" i="2"/>
  <c r="AF4477" i="2"/>
  <c r="AK4477" i="2" s="1"/>
  <c r="AG4477" i="2"/>
  <c r="AH4477" i="2"/>
  <c r="AL4477" i="2" s="1"/>
  <c r="AI4477" i="2"/>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L4483" i="2" s="1"/>
  <c r="AJ4483" i="2"/>
  <c r="AF4484" i="2"/>
  <c r="AK4484" i="2" s="1"/>
  <c r="AG4484" i="2"/>
  <c r="AH4484" i="2"/>
  <c r="AI4484" i="2"/>
  <c r="AJ4484" i="2"/>
  <c r="AF4485" i="2"/>
  <c r="AK4485" i="2"/>
  <c r="AG4485" i="2"/>
  <c r="AH4485" i="2"/>
  <c r="AI4485" i="2"/>
  <c r="AJ4485" i="2"/>
  <c r="AF4486" i="2"/>
  <c r="AK4486" i="2"/>
  <c r="AG4486" i="2"/>
  <c r="AH4486" i="2"/>
  <c r="AI4486" i="2"/>
  <c r="AJ4486" i="2"/>
  <c r="AF4487" i="2"/>
  <c r="AK4487" i="2" s="1"/>
  <c r="AG4487" i="2"/>
  <c r="AH4487" i="2"/>
  <c r="AI4487" i="2"/>
  <c r="AJ4487" i="2"/>
  <c r="AF4488" i="2"/>
  <c r="AK4488" i="2"/>
  <c r="AG4488" i="2"/>
  <c r="AH4488" i="2"/>
  <c r="AI4488" i="2"/>
  <c r="AL4488" i="2" s="1"/>
  <c r="AJ4488" i="2"/>
  <c r="AF4489" i="2"/>
  <c r="AK4489" i="2" s="1"/>
  <c r="AL4489" i="2" s="1"/>
  <c r="AG4489" i="2"/>
  <c r="AH4489" i="2"/>
  <c r="AI4489" i="2"/>
  <c r="AJ4489" i="2"/>
  <c r="AF4490" i="2"/>
  <c r="AK4490" i="2" s="1"/>
  <c r="AG4490" i="2"/>
  <c r="AH4490" i="2"/>
  <c r="AI4490" i="2"/>
  <c r="AJ4490" i="2"/>
  <c r="AF4491" i="2"/>
  <c r="AK4491" i="2"/>
  <c r="AG4491" i="2"/>
  <c r="AH4491" i="2"/>
  <c r="AI4491" i="2"/>
  <c r="AL4491" i="2" s="1"/>
  <c r="AJ4491" i="2"/>
  <c r="AF4492" i="2"/>
  <c r="AK4492" i="2" s="1"/>
  <c r="AG4492" i="2"/>
  <c r="AH4492" i="2"/>
  <c r="AI4492" i="2"/>
  <c r="AJ4492" i="2"/>
  <c r="AF4493" i="2"/>
  <c r="AK4493" i="2" s="1"/>
  <c r="AG4493" i="2"/>
  <c r="AH4493" i="2"/>
  <c r="AI4493" i="2"/>
  <c r="AJ4493" i="2"/>
  <c r="AF4494" i="2"/>
  <c r="AK4494" i="2"/>
  <c r="AG4494" i="2"/>
  <c r="AH4494" i="2"/>
  <c r="AI4494" i="2"/>
  <c r="AJ4494" i="2"/>
  <c r="AF4495" i="2"/>
  <c r="AK4495" i="2"/>
  <c r="AG4495" i="2"/>
  <c r="AH4495" i="2"/>
  <c r="AL4495" i="2" s="1"/>
  <c r="AI4495" i="2"/>
  <c r="AJ4495" i="2"/>
  <c r="AF4496" i="2"/>
  <c r="AK4496" i="2" s="1"/>
  <c r="AG4496" i="2"/>
  <c r="AH4496" i="2"/>
  <c r="AI4496" i="2"/>
  <c r="AJ4496" i="2"/>
  <c r="AF4497" i="2"/>
  <c r="AK4497" i="2" s="1"/>
  <c r="AG4497" i="2"/>
  <c r="AH4497" i="2"/>
  <c r="AI4497" i="2"/>
  <c r="AJ4497" i="2"/>
  <c r="AF4498" i="2"/>
  <c r="AK4498" i="2" s="1"/>
  <c r="AL4498" i="2" s="1"/>
  <c r="AG4498" i="2"/>
  <c r="AH4498" i="2"/>
  <c r="AI4498" i="2"/>
  <c r="AJ4498" i="2"/>
  <c r="AF4499" i="2"/>
  <c r="AK4499" i="2"/>
  <c r="AG4499" i="2"/>
  <c r="AH4499" i="2"/>
  <c r="AI4499" i="2"/>
  <c r="AL4499" i="2" s="1"/>
  <c r="AJ4499" i="2"/>
  <c r="AF4500" i="2"/>
  <c r="AK4500" i="2" s="1"/>
  <c r="AG4500" i="2"/>
  <c r="AH4500" i="2"/>
  <c r="AI4500" i="2"/>
  <c r="AJ4500" i="2"/>
  <c r="AF4501" i="2"/>
  <c r="AK4501" i="2" s="1"/>
  <c r="AL4501" i="2" s="1"/>
  <c r="AG4501" i="2"/>
  <c r="AH4501" i="2"/>
  <c r="AI4501" i="2"/>
  <c r="AJ4501" i="2"/>
  <c r="AF4502" i="2"/>
  <c r="AK4502" i="2" s="1"/>
  <c r="AL4502" i="2"/>
  <c r="AG4502" i="2"/>
  <c r="AH4502" i="2"/>
  <c r="AI4502" i="2"/>
  <c r="AJ4502" i="2"/>
  <c r="AF4503" i="2"/>
  <c r="AK4503" i="2" s="1"/>
  <c r="AG4503" i="2"/>
  <c r="AH4503" i="2"/>
  <c r="AI4503" i="2"/>
  <c r="AJ4503" i="2"/>
  <c r="AF4504" i="2"/>
  <c r="AK4504" i="2"/>
  <c r="AG4504" i="2"/>
  <c r="AH4504" i="2"/>
  <c r="AI4504" i="2"/>
  <c r="AJ4504" i="2"/>
  <c r="AF4505" i="2"/>
  <c r="AK4505" i="2"/>
  <c r="AG4505" i="2"/>
  <c r="AL4505" i="2" s="1"/>
  <c r="AH4505" i="2"/>
  <c r="AI4505" i="2"/>
  <c r="AJ4505" i="2"/>
  <c r="AF4506" i="2"/>
  <c r="AK4506" i="2" s="1"/>
  <c r="AG4506" i="2"/>
  <c r="AH4506" i="2"/>
  <c r="AI4506" i="2"/>
  <c r="AJ4506" i="2"/>
  <c r="AF4507" i="2"/>
  <c r="AK4507" i="2" s="1"/>
  <c r="AG4507" i="2"/>
  <c r="AL4507" i="2" s="1"/>
  <c r="AH4507" i="2"/>
  <c r="AI4507" i="2"/>
  <c r="AJ4507" i="2"/>
  <c r="AF4508" i="2"/>
  <c r="AK4508" i="2" s="1"/>
  <c r="AG4508" i="2"/>
  <c r="AH4508" i="2"/>
  <c r="AL4508" i="2" s="1"/>
  <c r="AI4508" i="2"/>
  <c r="AJ4508" i="2"/>
  <c r="AF4509" i="2"/>
  <c r="AK4509" i="2"/>
  <c r="AG4509" i="2"/>
  <c r="AH4509" i="2"/>
  <c r="AI4509" i="2"/>
  <c r="AJ4509" i="2"/>
  <c r="AF4510" i="2"/>
  <c r="AK4510" i="2" s="1"/>
  <c r="AG4510" i="2"/>
  <c r="AH4510" i="2"/>
  <c r="AI4510" i="2"/>
  <c r="AJ4510" i="2"/>
  <c r="AL4510" i="2" s="1"/>
  <c r="AF4511" i="2"/>
  <c r="AK4511" i="2"/>
  <c r="AG4511" i="2"/>
  <c r="AH4511" i="2"/>
  <c r="AI4511" i="2"/>
  <c r="AL4511" i="2" s="1"/>
  <c r="AJ4511" i="2"/>
  <c r="AF4512" i="2"/>
  <c r="AK4512" i="2" s="1"/>
  <c r="AG4512" i="2"/>
  <c r="AH4512" i="2"/>
  <c r="AI4512" i="2"/>
  <c r="AJ4512" i="2"/>
  <c r="AF4513" i="2"/>
  <c r="AK4513" i="2" s="1"/>
  <c r="AL4513" i="2"/>
  <c r="AG4513" i="2"/>
  <c r="AH4513" i="2"/>
  <c r="AI4513" i="2"/>
  <c r="AJ4513" i="2"/>
  <c r="AF4514" i="2"/>
  <c r="AK4514" i="2" s="1"/>
  <c r="AG4514" i="2"/>
  <c r="AH4514" i="2"/>
  <c r="AI4514" i="2"/>
  <c r="AJ4514" i="2"/>
  <c r="AF4515" i="2"/>
  <c r="AK4515" i="2"/>
  <c r="AG4515" i="2"/>
  <c r="AH4515" i="2"/>
  <c r="AI4515" i="2"/>
  <c r="AL4515" i="2" s="1"/>
  <c r="AJ4515" i="2"/>
  <c r="AF4516" i="2"/>
  <c r="AK4516" i="2" s="1"/>
  <c r="AG4516" i="2"/>
  <c r="AH4516" i="2"/>
  <c r="AI4516" i="2"/>
  <c r="AJ4516" i="2"/>
  <c r="AF4517" i="2"/>
  <c r="AK4517" i="2" s="1"/>
  <c r="AL4517" i="2" s="1"/>
  <c r="AG4517" i="2"/>
  <c r="AH4517" i="2"/>
  <c r="AI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c r="AG4521" i="2"/>
  <c r="AH4521" i="2"/>
  <c r="AL4521" i="2" s="1"/>
  <c r="AI4521" i="2"/>
  <c r="AJ4521" i="2"/>
  <c r="AF4522" i="2"/>
  <c r="AK4522" i="2" s="1"/>
  <c r="AG4522" i="2"/>
  <c r="AH4522" i="2"/>
  <c r="AI4522" i="2"/>
  <c r="AJ4522" i="2"/>
  <c r="AF4523" i="2"/>
  <c r="AK4523" i="2" s="1"/>
  <c r="AG4523" i="2"/>
  <c r="AH4523" i="2"/>
  <c r="AI4523" i="2"/>
  <c r="AJ4523" i="2"/>
  <c r="AF4524" i="2"/>
  <c r="AK4524" i="2" s="1"/>
  <c r="AG4524" i="2"/>
  <c r="AH4524" i="2"/>
  <c r="AI4524" i="2"/>
  <c r="AJ4524" i="2"/>
  <c r="AF4525" i="2"/>
  <c r="AK4525" i="2"/>
  <c r="AG4525" i="2"/>
  <c r="AH4525" i="2"/>
  <c r="AI4525" i="2"/>
  <c r="AJ4525" i="2"/>
  <c r="AF4526" i="2"/>
  <c r="AK4526" i="2" s="1"/>
  <c r="AL4526" i="2" s="1"/>
  <c r="AG4526" i="2"/>
  <c r="AH4526" i="2"/>
  <c r="AI4526" i="2"/>
  <c r="AJ4526" i="2"/>
  <c r="AF4527" i="2"/>
  <c r="AK4527" i="2" s="1"/>
  <c r="AL4527" i="2" s="1"/>
  <c r="AG4527" i="2"/>
  <c r="AH4527" i="2"/>
  <c r="AI4527" i="2"/>
  <c r="AJ4527" i="2"/>
  <c r="AF4528" i="2"/>
  <c r="AK4528" i="2"/>
  <c r="AG4528" i="2"/>
  <c r="AH4528" i="2"/>
  <c r="AI4528" i="2"/>
  <c r="AJ4528" i="2"/>
  <c r="AF4529" i="2"/>
  <c r="AK4529" i="2" s="1"/>
  <c r="AL4529" i="2" s="1"/>
  <c r="AG4529" i="2"/>
  <c r="AH4529" i="2"/>
  <c r="AI4529" i="2"/>
  <c r="AJ4529" i="2"/>
  <c r="AF4530" i="2"/>
  <c r="AK4530" i="2"/>
  <c r="AG4530" i="2"/>
  <c r="AH4530" i="2"/>
  <c r="AI4530" i="2"/>
  <c r="AJ4530" i="2"/>
  <c r="AF4531" i="2"/>
  <c r="AK4531" i="2" s="1"/>
  <c r="AG4531" i="2"/>
  <c r="AH4531" i="2"/>
  <c r="AI4531" i="2"/>
  <c r="AJ4531" i="2"/>
  <c r="AL4531" i="2"/>
  <c r="AF4532" i="2"/>
  <c r="AK4532" i="2"/>
  <c r="AG4532" i="2"/>
  <c r="AH4532" i="2"/>
  <c r="AL4532" i="2"/>
  <c r="AI4532" i="2"/>
  <c r="AJ4532" i="2"/>
  <c r="AF4533" i="2"/>
  <c r="AK4533" i="2" s="1"/>
  <c r="AL4533" i="2" s="1"/>
  <c r="AG4533" i="2"/>
  <c r="AH4533" i="2"/>
  <c r="AI4533" i="2"/>
  <c r="AJ4533" i="2"/>
  <c r="AF4534" i="2"/>
  <c r="AK4534" i="2" s="1"/>
  <c r="AG4534" i="2"/>
  <c r="AH4534" i="2"/>
  <c r="AI4534" i="2"/>
  <c r="AJ4534" i="2"/>
  <c r="AF4535" i="2"/>
  <c r="AK4535" i="2" s="1"/>
  <c r="AG4535" i="2"/>
  <c r="AH4535" i="2"/>
  <c r="AI4535" i="2"/>
  <c r="AJ4535" i="2"/>
  <c r="AF4536" i="2"/>
  <c r="AK4536" i="2"/>
  <c r="AG4536" i="2"/>
  <c r="AH4536" i="2"/>
  <c r="AI4536" i="2"/>
  <c r="AJ4536" i="2"/>
  <c r="AF4537" i="2"/>
  <c r="AK4537" i="2"/>
  <c r="AG4537" i="2"/>
  <c r="AH4537" i="2"/>
  <c r="AI4537" i="2"/>
  <c r="AJ4537" i="2"/>
  <c r="AF4538" i="2"/>
  <c r="AK4538" i="2"/>
  <c r="AG4538" i="2"/>
  <c r="AH4538" i="2"/>
  <c r="AL4538" i="2" s="1"/>
  <c r="AI4538" i="2"/>
  <c r="AJ4538" i="2"/>
  <c r="AF4539" i="2"/>
  <c r="AK4539" i="2" s="1"/>
  <c r="AG4539" i="2"/>
  <c r="AL4539" i="2" s="1"/>
  <c r="AH4539" i="2"/>
  <c r="AI4539" i="2"/>
  <c r="AJ4539" i="2"/>
  <c r="AF4540" i="2"/>
  <c r="AK4540" i="2"/>
  <c r="AG4540" i="2"/>
  <c r="AH4540" i="2"/>
  <c r="AI4540" i="2"/>
  <c r="AL4540" i="2" s="1"/>
  <c r="AJ4540" i="2"/>
  <c r="AF4541" i="2"/>
  <c r="AK4541" i="2" s="1"/>
  <c r="AG4541" i="2"/>
  <c r="AH4541" i="2"/>
  <c r="AI4541" i="2"/>
  <c r="AJ4541" i="2"/>
  <c r="AF4542" i="2"/>
  <c r="AK4542" i="2"/>
  <c r="AG4542" i="2"/>
  <c r="AH4542" i="2"/>
  <c r="AL4542" i="2" s="1"/>
  <c r="AI4542" i="2"/>
  <c r="AJ4542" i="2"/>
  <c r="AF4543" i="2"/>
  <c r="AK4543" i="2"/>
  <c r="AG4543" i="2"/>
  <c r="AH4543" i="2"/>
  <c r="AI4543" i="2"/>
  <c r="AJ4543" i="2"/>
  <c r="AF4544" i="2"/>
  <c r="AK4544" i="2"/>
  <c r="AG4544" i="2"/>
  <c r="AL4544" i="2" s="1"/>
  <c r="AH4544" i="2"/>
  <c r="AI4544" i="2"/>
  <c r="AJ4544" i="2"/>
  <c r="AF4545" i="2"/>
  <c r="AK4545" i="2" s="1"/>
  <c r="AG4545" i="2"/>
  <c r="AH4545" i="2"/>
  <c r="AI4545" i="2"/>
  <c r="AJ4545" i="2"/>
  <c r="AF4546" i="2"/>
  <c r="AK4546" i="2" s="1"/>
  <c r="AL4546" i="2" s="1"/>
  <c r="AG4546" i="2"/>
  <c r="AH4546" i="2"/>
  <c r="AI4546" i="2"/>
  <c r="AJ4546" i="2"/>
  <c r="AF4547" i="2"/>
  <c r="AK4547" i="2" s="1"/>
  <c r="AG4547" i="2"/>
  <c r="AH4547" i="2"/>
  <c r="AL4547" i="2" s="1"/>
  <c r="AI4547" i="2"/>
  <c r="AJ4547" i="2"/>
  <c r="AF4548" i="2"/>
  <c r="AK4548" i="2"/>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c r="AG4552" i="2"/>
  <c r="AH4552" i="2"/>
  <c r="AI4552" i="2"/>
  <c r="AJ4552" i="2"/>
  <c r="AF4553" i="2"/>
  <c r="AK4553" i="2" s="1"/>
  <c r="AG4553" i="2"/>
  <c r="AH4553" i="2"/>
  <c r="AI4553" i="2"/>
  <c r="AJ4553" i="2"/>
  <c r="AF4554" i="2"/>
  <c r="AK4554" i="2" s="1"/>
  <c r="AG4554" i="2"/>
  <c r="AH4554" i="2"/>
  <c r="AI4554" i="2"/>
  <c r="AJ4554" i="2"/>
  <c r="AF4555" i="2"/>
  <c r="AK4555" i="2" s="1"/>
  <c r="AL4555" i="2" s="1"/>
  <c r="AG4555" i="2"/>
  <c r="AH4555" i="2"/>
  <c r="AI4555" i="2"/>
  <c r="AJ4555" i="2"/>
  <c r="AF4556" i="2"/>
  <c r="AK4556" i="2"/>
  <c r="AG4556" i="2"/>
  <c r="AH4556" i="2"/>
  <c r="AI4556" i="2"/>
  <c r="AJ4556" i="2"/>
  <c r="AF4557" i="2"/>
  <c r="AK4557" i="2" s="1"/>
  <c r="AG4557" i="2"/>
  <c r="AH4557" i="2"/>
  <c r="AL4557" i="2" s="1"/>
  <c r="AI4557" i="2"/>
  <c r="AJ4557" i="2"/>
  <c r="AF4558" i="2"/>
  <c r="AK4558" i="2"/>
  <c r="AG4558" i="2"/>
  <c r="AH4558" i="2"/>
  <c r="AI4558" i="2"/>
  <c r="AJ4558" i="2"/>
  <c r="AF4559" i="2"/>
  <c r="AK4559" i="2"/>
  <c r="AG4559" i="2"/>
  <c r="AL4559" i="2" s="1"/>
  <c r="AH4559" i="2"/>
  <c r="AI4559" i="2"/>
  <c r="AJ4559" i="2"/>
  <c r="AF4560" i="2"/>
  <c r="AK4560" i="2" s="1"/>
  <c r="AL4560" i="2"/>
  <c r="AG4560" i="2"/>
  <c r="AH4560" i="2"/>
  <c r="AI4560" i="2"/>
  <c r="AJ4560" i="2"/>
  <c r="AF4561" i="2"/>
  <c r="AK4561" i="2" s="1"/>
  <c r="AL4561" i="2" s="1"/>
  <c r="AG4561" i="2"/>
  <c r="AH4561" i="2"/>
  <c r="AI4561" i="2"/>
  <c r="AJ4561" i="2"/>
  <c r="AF4562" i="2"/>
  <c r="AK4562" i="2"/>
  <c r="AG4562" i="2"/>
  <c r="AL4562" i="2" s="1"/>
  <c r="AH4562" i="2"/>
  <c r="AI4562" i="2"/>
  <c r="AJ4562" i="2"/>
  <c r="AF4563" i="2"/>
  <c r="AK4563" i="2"/>
  <c r="AG4563" i="2"/>
  <c r="AH4563" i="2"/>
  <c r="AI4563" i="2"/>
  <c r="AJ4563" i="2"/>
  <c r="AF4564" i="2"/>
  <c r="AK4564" i="2"/>
  <c r="AG4564" i="2"/>
  <c r="AH4564" i="2"/>
  <c r="AL4564" i="2" s="1"/>
  <c r="AI4564" i="2"/>
  <c r="AJ4564" i="2"/>
  <c r="AF4565" i="2"/>
  <c r="AK4565" i="2" s="1"/>
  <c r="AG4565" i="2"/>
  <c r="AH4565" i="2"/>
  <c r="AI4565" i="2"/>
  <c r="AJ4565" i="2"/>
  <c r="AF4566" i="2"/>
  <c r="AK4566" i="2" s="1"/>
  <c r="AG4566" i="2"/>
  <c r="AH4566" i="2"/>
  <c r="AI4566" i="2"/>
  <c r="AJ4566" i="2"/>
  <c r="AF4567" i="2"/>
  <c r="AK4567" i="2"/>
  <c r="AG4567" i="2"/>
  <c r="AH4567" i="2"/>
  <c r="AI4567" i="2"/>
  <c r="AJ4567" i="2"/>
  <c r="AF4568" i="2"/>
  <c r="AK4568" i="2"/>
  <c r="AG4568" i="2"/>
  <c r="AH4568" i="2"/>
  <c r="AI4568" i="2"/>
  <c r="AL4568" i="2" s="1"/>
  <c r="AJ4568" i="2"/>
  <c r="AF4569" i="2"/>
  <c r="AK4569" i="2" s="1"/>
  <c r="AG4569" i="2"/>
  <c r="AH4569" i="2"/>
  <c r="AI4569" i="2"/>
  <c r="AJ4569" i="2"/>
  <c r="AL4569" i="2" s="1"/>
  <c r="AF4570" i="2"/>
  <c r="AK4570" i="2"/>
  <c r="AG4570" i="2"/>
  <c r="AH4570" i="2"/>
  <c r="AL4570" i="2" s="1"/>
  <c r="AI4570" i="2"/>
  <c r="AJ4570" i="2"/>
  <c r="AF4571" i="2"/>
  <c r="AK4571" i="2" s="1"/>
  <c r="AG4571" i="2"/>
  <c r="AH4571" i="2"/>
  <c r="AI4571" i="2"/>
  <c r="AJ4571" i="2"/>
  <c r="AF4572" i="2"/>
  <c r="AK4572" i="2" s="1"/>
  <c r="AG4572" i="2"/>
  <c r="AH4572" i="2"/>
  <c r="AI4572" i="2"/>
  <c r="AJ4572" i="2"/>
  <c r="AF4573" i="2"/>
  <c r="AK4573" i="2"/>
  <c r="AL4573" i="2" s="1"/>
  <c r="AG4573" i="2"/>
  <c r="AH4573" i="2"/>
  <c r="AI4573" i="2"/>
  <c r="AJ4573" i="2"/>
  <c r="AF4574" i="2"/>
  <c r="AK4574" i="2" s="1"/>
  <c r="AG4574" i="2"/>
  <c r="AH4574" i="2"/>
  <c r="AI4574" i="2"/>
  <c r="AJ4574" i="2"/>
  <c r="AF4575" i="2"/>
  <c r="AK4575" i="2" s="1"/>
  <c r="AG4575" i="2"/>
  <c r="AH4575" i="2"/>
  <c r="AI4575" i="2"/>
  <c r="AJ4575" i="2"/>
  <c r="AF4576" i="2"/>
  <c r="AK4576" i="2" s="1"/>
  <c r="AG4576" i="2"/>
  <c r="AL4576" i="2" s="1"/>
  <c r="AH4576" i="2"/>
  <c r="AI4576" i="2"/>
  <c r="AJ4576" i="2"/>
  <c r="AF4577" i="2"/>
  <c r="AK4577" i="2"/>
  <c r="AG4577" i="2"/>
  <c r="AH4577" i="2"/>
  <c r="AI4577" i="2"/>
  <c r="AL4577" i="2" s="1"/>
  <c r="AJ4577" i="2"/>
  <c r="AF4578" i="2"/>
  <c r="AK4578" i="2" s="1"/>
  <c r="AL4578" i="2" s="1"/>
  <c r="AG4578" i="2"/>
  <c r="AH4578" i="2"/>
  <c r="AI4578" i="2"/>
  <c r="AJ4578" i="2"/>
  <c r="AF4579" i="2"/>
  <c r="AK4579" i="2"/>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c r="AG4583" i="2"/>
  <c r="AH4583" i="2"/>
  <c r="AI4583" i="2"/>
  <c r="AJ4583" i="2"/>
  <c r="AF4584" i="2"/>
  <c r="AK4584" i="2"/>
  <c r="AG4584" i="2"/>
  <c r="AH4584" i="2"/>
  <c r="AI4584" i="2"/>
  <c r="AJ4584" i="2"/>
  <c r="AF4585" i="2"/>
  <c r="AK4585" i="2" s="1"/>
  <c r="AL4585" i="2" s="1"/>
  <c r="AG4585" i="2"/>
  <c r="AH4585" i="2"/>
  <c r="AI4585" i="2"/>
  <c r="AJ4585" i="2"/>
  <c r="AF4586" i="2"/>
  <c r="AK4586" i="2" s="1"/>
  <c r="AG4586" i="2"/>
  <c r="AH4586" i="2"/>
  <c r="AI4586" i="2"/>
  <c r="AJ4586" i="2"/>
  <c r="AF4587" i="2"/>
  <c r="AK4587" i="2"/>
  <c r="AG4587" i="2"/>
  <c r="AL4587" i="2" s="1"/>
  <c r="AH4587" i="2"/>
  <c r="AI4587" i="2"/>
  <c r="AJ4587" i="2"/>
  <c r="AF4588" i="2"/>
  <c r="AK4588" i="2"/>
  <c r="AG4588" i="2"/>
  <c r="AH4588" i="2"/>
  <c r="AI4588" i="2"/>
  <c r="AL4588" i="2" s="1"/>
  <c r="AJ4588" i="2"/>
  <c r="AF4589" i="2"/>
  <c r="AK4589" i="2"/>
  <c r="AG4589" i="2"/>
  <c r="AH4589" i="2"/>
  <c r="AI4589" i="2"/>
  <c r="AJ4589" i="2"/>
  <c r="AF4590" i="2"/>
  <c r="AK4590" i="2" s="1"/>
  <c r="AG4590" i="2"/>
  <c r="AH4590" i="2"/>
  <c r="AI4590" i="2"/>
  <c r="AJ4590" i="2"/>
  <c r="AF4591" i="2"/>
  <c r="AK4591" i="2" s="1"/>
  <c r="AG4591" i="2"/>
  <c r="AH4591" i="2"/>
  <c r="AI4591" i="2"/>
  <c r="AJ4591" i="2"/>
  <c r="AF4592" i="2"/>
  <c r="AK4592" i="2"/>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F4596" i="2"/>
  <c r="AK4596" i="2" s="1"/>
  <c r="AL4596" i="2" s="1"/>
  <c r="AG4596" i="2"/>
  <c r="AH4596" i="2"/>
  <c r="AI4596" i="2"/>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s="1"/>
  <c r="AG4605" i="2"/>
  <c r="AH4605" i="2"/>
  <c r="AI4605" i="2"/>
  <c r="AJ4605" i="2"/>
  <c r="AL4605" i="2" s="1"/>
  <c r="AF4606" i="2"/>
  <c r="AK4606" i="2" s="1"/>
  <c r="AG4606" i="2"/>
  <c r="AL4606" i="2" s="1"/>
  <c r="AH4606" i="2"/>
  <c r="AI4606" i="2"/>
  <c r="AJ4606" i="2"/>
  <c r="AF4607" i="2"/>
  <c r="AK4607" i="2" s="1"/>
  <c r="AG4607" i="2"/>
  <c r="AL4607" i="2"/>
  <c r="AH4607" i="2"/>
  <c r="AI4607" i="2"/>
  <c r="AJ4607" i="2"/>
  <c r="AF4608" i="2"/>
  <c r="AK4608" i="2"/>
  <c r="AG4608" i="2"/>
  <c r="AH4608" i="2"/>
  <c r="AL4608" i="2"/>
  <c r="AI4608" i="2"/>
  <c r="AJ4608" i="2"/>
  <c r="AF4609" i="2"/>
  <c r="AK4609" i="2"/>
  <c r="AG4609" i="2"/>
  <c r="AH4609" i="2"/>
  <c r="AI4609" i="2"/>
  <c r="AJ4609" i="2"/>
  <c r="AL4609" i="2" s="1"/>
  <c r="AF4610" i="2"/>
  <c r="AK4610" i="2"/>
  <c r="AG4610" i="2"/>
  <c r="AH4610" i="2"/>
  <c r="AL4610" i="2" s="1"/>
  <c r="AI4610" i="2"/>
  <c r="AJ4610" i="2"/>
  <c r="AF4611" i="2"/>
  <c r="AK4611" i="2" s="1"/>
  <c r="AG4611" i="2"/>
  <c r="AH4611" i="2"/>
  <c r="AI4611" i="2"/>
  <c r="AJ4611" i="2"/>
  <c r="AF4612" i="2"/>
  <c r="AK4612" i="2" s="1"/>
  <c r="AG4612" i="2"/>
  <c r="AL4612" i="2" s="1"/>
  <c r="AH4612" i="2"/>
  <c r="AI4612" i="2"/>
  <c r="AJ4612" i="2"/>
  <c r="AF4613" i="2"/>
  <c r="AK4613" i="2" s="1"/>
  <c r="AG4613" i="2"/>
  <c r="AH4613" i="2"/>
  <c r="AL4613" i="2" s="1"/>
  <c r="AI4613" i="2"/>
  <c r="AJ4613" i="2"/>
  <c r="AF4614" i="2"/>
  <c r="AK4614" i="2"/>
  <c r="AG4614" i="2"/>
  <c r="AH4614" i="2"/>
  <c r="AI4614" i="2"/>
  <c r="AJ4614" i="2"/>
  <c r="AF4615" i="2"/>
  <c r="AK4615" i="2" s="1"/>
  <c r="AG4615" i="2"/>
  <c r="AH4615" i="2"/>
  <c r="AI4615" i="2"/>
  <c r="AJ4615" i="2"/>
  <c r="AF4616" i="2"/>
  <c r="AK4616" i="2" s="1"/>
  <c r="AG4616" i="2"/>
  <c r="AL4616" i="2" s="1"/>
  <c r="AH4616" i="2"/>
  <c r="AI4616" i="2"/>
  <c r="AJ4616" i="2"/>
  <c r="AF4617" i="2"/>
  <c r="AK4617" i="2"/>
  <c r="AG4617" i="2"/>
  <c r="AH4617" i="2"/>
  <c r="AI4617" i="2"/>
  <c r="AJ4617" i="2"/>
  <c r="AF4618" i="2"/>
  <c r="AK4618" i="2" s="1"/>
  <c r="AG4618" i="2"/>
  <c r="AH4618" i="2"/>
  <c r="AL4618" i="2" s="1"/>
  <c r="AI4618" i="2"/>
  <c r="AJ4618" i="2"/>
  <c r="AF4619" i="2"/>
  <c r="AK4619" i="2"/>
  <c r="AG4619" i="2"/>
  <c r="AH4619" i="2"/>
  <c r="AI4619" i="2"/>
  <c r="AJ4619" i="2"/>
  <c r="AF4620" i="2"/>
  <c r="AK4620" i="2" s="1"/>
  <c r="AG4620" i="2"/>
  <c r="AH4620" i="2"/>
  <c r="AI4620" i="2"/>
  <c r="AJ4620" i="2"/>
  <c r="AF4621" i="2"/>
  <c r="AK4621" i="2"/>
  <c r="AG4621" i="2"/>
  <c r="AH4621" i="2"/>
  <c r="AL4621" i="2" s="1"/>
  <c r="AI4621" i="2"/>
  <c r="AJ4621" i="2"/>
  <c r="AF4622" i="2"/>
  <c r="AK4622" i="2" s="1"/>
  <c r="AG4622" i="2"/>
  <c r="AH4622" i="2"/>
  <c r="AI4622" i="2"/>
  <c r="AJ4622" i="2"/>
  <c r="AF4623" i="2"/>
  <c r="AK4623" i="2"/>
  <c r="AG4623" i="2"/>
  <c r="AH4623" i="2"/>
  <c r="AI4623" i="2"/>
  <c r="AJ4623" i="2"/>
  <c r="AF4624" i="2"/>
  <c r="AK4624" i="2" s="1"/>
  <c r="AG4624" i="2"/>
  <c r="AH4624" i="2"/>
  <c r="AI4624" i="2"/>
  <c r="AJ4624" i="2"/>
  <c r="AF4625" i="2"/>
  <c r="AK4625" i="2"/>
  <c r="AG4625" i="2"/>
  <c r="AH4625" i="2"/>
  <c r="AI4625" i="2"/>
  <c r="AJ4625" i="2"/>
  <c r="AF4626" i="2"/>
  <c r="AK4626" i="2" s="1"/>
  <c r="AG4626" i="2"/>
  <c r="AH4626" i="2"/>
  <c r="AI4626" i="2"/>
  <c r="AJ4626" i="2"/>
  <c r="AF4627" i="2"/>
  <c r="AK4627" i="2"/>
  <c r="AG4627" i="2"/>
  <c r="AH4627" i="2"/>
  <c r="AI4627" i="2"/>
  <c r="AJ4627" i="2"/>
  <c r="AF4628" i="2"/>
  <c r="AK4628" i="2" s="1"/>
  <c r="AG4628" i="2"/>
  <c r="AH4628" i="2"/>
  <c r="AL4628" i="2" s="1"/>
  <c r="AI4628" i="2"/>
  <c r="AJ4628" i="2"/>
  <c r="AF4629" i="2"/>
  <c r="AK4629" i="2"/>
  <c r="AG4629" i="2"/>
  <c r="AH4629" i="2"/>
  <c r="AI4629" i="2"/>
  <c r="AJ4629" i="2"/>
  <c r="AF4630" i="2"/>
  <c r="AK4630" i="2" s="1"/>
  <c r="AG4630" i="2"/>
  <c r="AL4630" i="2"/>
  <c r="AH4630" i="2"/>
  <c r="AI4630" i="2"/>
  <c r="AJ4630" i="2"/>
  <c r="AF4631" i="2"/>
  <c r="AK4631" i="2"/>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s="1"/>
  <c r="AG4635" i="2"/>
  <c r="AH4635" i="2"/>
  <c r="AI4635" i="2"/>
  <c r="AJ4635" i="2"/>
  <c r="AF4636" i="2"/>
  <c r="AK4636" i="2"/>
  <c r="AG4636" i="2"/>
  <c r="AH4636" i="2"/>
  <c r="AI4636" i="2"/>
  <c r="AJ4636" i="2"/>
  <c r="AF4637" i="2"/>
  <c r="AK4637" i="2" s="1"/>
  <c r="AG4637" i="2"/>
  <c r="AH4637" i="2"/>
  <c r="AI4637" i="2"/>
  <c r="AJ4637" i="2"/>
  <c r="AL4637" i="2" s="1"/>
  <c r="AF4638" i="2"/>
  <c r="AK4638" i="2"/>
  <c r="AG4638" i="2"/>
  <c r="AH4638" i="2"/>
  <c r="AI4638" i="2"/>
  <c r="AJ4638" i="2"/>
  <c r="AF4639" i="2"/>
  <c r="AK4639" i="2"/>
  <c r="AL4639" i="2" s="1"/>
  <c r="AG4639" i="2"/>
  <c r="AH4639" i="2"/>
  <c r="AI4639" i="2"/>
  <c r="AJ4639" i="2"/>
  <c r="AF4640" i="2"/>
  <c r="AK4640" i="2" s="1"/>
  <c r="AL4640" i="2" s="1"/>
  <c r="AG4640" i="2"/>
  <c r="AH4640" i="2"/>
  <c r="AI4640" i="2"/>
  <c r="AJ4640" i="2"/>
  <c r="AF4641" i="2"/>
  <c r="AK4641" i="2" s="1"/>
  <c r="AG4641" i="2"/>
  <c r="AH4641" i="2"/>
  <c r="AI4641" i="2"/>
  <c r="AJ4641" i="2"/>
  <c r="AF4642" i="2"/>
  <c r="AK4642" i="2"/>
  <c r="AL4642" i="2" s="1"/>
  <c r="AG4642" i="2"/>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s="1"/>
  <c r="AG4646" i="2"/>
  <c r="AL4646" i="2"/>
  <c r="AH4646" i="2"/>
  <c r="AI4646" i="2"/>
  <c r="AJ4646" i="2"/>
  <c r="AF4647" i="2"/>
  <c r="AK4647" i="2"/>
  <c r="AG4647" i="2"/>
  <c r="AH4647" i="2"/>
  <c r="AI4647" i="2"/>
  <c r="AL4647" i="2" s="1"/>
  <c r="AJ4647" i="2"/>
  <c r="AF4648" i="2"/>
  <c r="AK4648" i="2" s="1"/>
  <c r="AL4648" i="2" s="1"/>
  <c r="AG4648" i="2"/>
  <c r="AH4648" i="2"/>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c r="AG4652" i="2"/>
  <c r="AH4652" i="2"/>
  <c r="AI4652" i="2"/>
  <c r="AJ4652" i="2"/>
  <c r="AF4653" i="2"/>
  <c r="AK4653" i="2"/>
  <c r="AG4653" i="2"/>
  <c r="AH4653" i="2"/>
  <c r="AI4653" i="2"/>
  <c r="AJ4653" i="2"/>
  <c r="AF4654" i="2"/>
  <c r="AK4654" i="2" s="1"/>
  <c r="AG4654" i="2"/>
  <c r="AH4654" i="2"/>
  <c r="AI4654" i="2"/>
  <c r="AJ4654" i="2"/>
  <c r="AF4655" i="2"/>
  <c r="AK4655" i="2" s="1"/>
  <c r="AG4655" i="2"/>
  <c r="AH4655" i="2"/>
  <c r="AI4655" i="2"/>
  <c r="AJ4655" i="2"/>
  <c r="AF4656" i="2"/>
  <c r="AK4656" i="2"/>
  <c r="AL4656" i="2" s="1"/>
  <c r="AG4656" i="2"/>
  <c r="AH4656" i="2"/>
  <c r="AI4656" i="2"/>
  <c r="AJ4656" i="2"/>
  <c r="AF4657" i="2"/>
  <c r="AK4657" i="2" s="1"/>
  <c r="AG4657" i="2"/>
  <c r="AH4657" i="2"/>
  <c r="AI4657" i="2"/>
  <c r="AJ4657" i="2"/>
  <c r="AF4658" i="2"/>
  <c r="AK4658" i="2"/>
  <c r="AG4658" i="2"/>
  <c r="AH4658" i="2"/>
  <c r="AI4658" i="2"/>
  <c r="AJ4658" i="2"/>
  <c r="AF4659" i="2"/>
  <c r="AK4659" i="2" s="1"/>
  <c r="AL4659" i="2" s="1"/>
  <c r="AG4659" i="2"/>
  <c r="AH4659" i="2"/>
  <c r="AI4659" i="2"/>
  <c r="AJ4659" i="2"/>
  <c r="AF4660" i="2"/>
  <c r="AK4660" i="2" s="1"/>
  <c r="AG4660" i="2"/>
  <c r="AH4660" i="2"/>
  <c r="AI4660" i="2"/>
  <c r="AJ4660" i="2"/>
  <c r="AF4661" i="2"/>
  <c r="AK4661" i="2"/>
  <c r="AG4661" i="2"/>
  <c r="AH4661" i="2"/>
  <c r="AI4661" i="2"/>
  <c r="AJ4661" i="2"/>
  <c r="AF4662" i="2"/>
  <c r="AK4662" i="2" s="1"/>
  <c r="AL4662" i="2" s="1"/>
  <c r="AG4662" i="2"/>
  <c r="AH4662" i="2"/>
  <c r="AI4662" i="2"/>
  <c r="AJ4662" i="2"/>
  <c r="AF4663" i="2"/>
  <c r="AK4663" i="2" s="1"/>
  <c r="AG4663" i="2"/>
  <c r="AH4663" i="2"/>
  <c r="AL4663" i="2" s="1"/>
  <c r="AI4663" i="2"/>
  <c r="AJ4663" i="2"/>
  <c r="AF4664" i="2"/>
  <c r="AK4664" i="2"/>
  <c r="AG4664" i="2"/>
  <c r="AH4664" i="2"/>
  <c r="AI4664" i="2"/>
  <c r="AJ4664" i="2"/>
  <c r="AL4664" i="2" s="1"/>
  <c r="AF4665" i="2"/>
  <c r="AK4665" i="2"/>
  <c r="AG4665" i="2"/>
  <c r="AH4665" i="2"/>
  <c r="AI4665" i="2"/>
  <c r="AJ4665" i="2"/>
  <c r="AF4666" i="2"/>
  <c r="AK4666" i="2"/>
  <c r="AG4666" i="2"/>
  <c r="AH4666" i="2"/>
  <c r="AI4666" i="2"/>
  <c r="AJ4666" i="2"/>
  <c r="AF4667" i="2"/>
  <c r="AK4667" i="2" s="1"/>
  <c r="AL4667" i="2" s="1"/>
  <c r="AG4667" i="2"/>
  <c r="AH4667" i="2"/>
  <c r="AI4667" i="2"/>
  <c r="AJ4667" i="2"/>
  <c r="AF4668" i="2"/>
  <c r="AK4668" i="2" s="1"/>
  <c r="AG4668" i="2"/>
  <c r="AH4668" i="2"/>
  <c r="AI4668" i="2"/>
  <c r="AJ4668" i="2"/>
  <c r="AF4669" i="2"/>
  <c r="AK4669" i="2"/>
  <c r="AG4669" i="2"/>
  <c r="AL4669" i="2" s="1"/>
  <c r="AH4669" i="2"/>
  <c r="AI4669" i="2"/>
  <c r="AJ4669" i="2"/>
  <c r="AF4670" i="2"/>
  <c r="AK4670" i="2" s="1"/>
  <c r="AG4670" i="2"/>
  <c r="AH4670" i="2"/>
  <c r="AL4670" i="2" s="1"/>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c r="AG4674" i="2"/>
  <c r="AH4674" i="2"/>
  <c r="AI4674" i="2"/>
  <c r="AJ4674" i="2"/>
  <c r="AF4675" i="2"/>
  <c r="AK4675" i="2"/>
  <c r="AG4675" i="2"/>
  <c r="AH4675" i="2"/>
  <c r="AI4675" i="2"/>
  <c r="AJ4675" i="2"/>
  <c r="AF4676" i="2"/>
  <c r="AK4676" i="2"/>
  <c r="AG4676" i="2"/>
  <c r="AH4676" i="2"/>
  <c r="AL4676" i="2" s="1"/>
  <c r="AI4676" i="2"/>
  <c r="AJ4676" i="2"/>
  <c r="AF4677" i="2"/>
  <c r="AK4677" i="2" s="1"/>
  <c r="AG4677" i="2"/>
  <c r="AH4677" i="2"/>
  <c r="AI4677" i="2"/>
  <c r="AJ4677" i="2"/>
  <c r="AL4677" i="2" s="1"/>
  <c r="AF4678" i="2"/>
  <c r="AK4678" i="2" s="1"/>
  <c r="AG4678" i="2"/>
  <c r="AH4678" i="2"/>
  <c r="AI4678" i="2"/>
  <c r="AJ4678" i="2"/>
  <c r="AF4679" i="2"/>
  <c r="AK4679" i="2"/>
  <c r="AG4679" i="2"/>
  <c r="AH4679" i="2"/>
  <c r="AI4679" i="2"/>
  <c r="AJ4679" i="2"/>
  <c r="AF4680" i="2"/>
  <c r="AK4680" i="2" s="1"/>
  <c r="AG4680" i="2"/>
  <c r="AL4680" i="2"/>
  <c r="AH4680" i="2"/>
  <c r="AI4680" i="2"/>
  <c r="AJ4680" i="2"/>
  <c r="AF4681" i="2"/>
  <c r="AK4681" i="2"/>
  <c r="AG4681" i="2"/>
  <c r="AH4681" i="2"/>
  <c r="AL4681" i="2"/>
  <c r="AI4681" i="2"/>
  <c r="AJ4681" i="2"/>
  <c r="AF4682" i="2"/>
  <c r="AK4682" i="2" s="1"/>
  <c r="AG4682" i="2"/>
  <c r="AH4682" i="2"/>
  <c r="AI4682" i="2"/>
  <c r="AL4682" i="2"/>
  <c r="AJ4682" i="2"/>
  <c r="AF4683" i="2"/>
  <c r="AK4683" i="2"/>
  <c r="AG4683" i="2"/>
  <c r="AH4683" i="2"/>
  <c r="AI4683" i="2"/>
  <c r="AJ4683" i="2"/>
  <c r="AF4684" i="2"/>
  <c r="AK4684" i="2" s="1"/>
  <c r="AG4684" i="2"/>
  <c r="AH4684" i="2"/>
  <c r="AI4684" i="2"/>
  <c r="AJ4684" i="2"/>
  <c r="AF4685" i="2"/>
  <c r="AK4685" i="2"/>
  <c r="AG4685" i="2"/>
  <c r="AH4685" i="2"/>
  <c r="AL4685" i="2" s="1"/>
  <c r="AI4685" i="2"/>
  <c r="AJ4685" i="2"/>
  <c r="AF4686" i="2"/>
  <c r="AK4686" i="2"/>
  <c r="AG4686" i="2"/>
  <c r="AH4686" i="2"/>
  <c r="AI4686" i="2"/>
  <c r="AJ4686" i="2"/>
  <c r="AF4687" i="2"/>
  <c r="AK4687" i="2"/>
  <c r="AG4687" i="2"/>
  <c r="AH4687" i="2"/>
  <c r="AI4687" i="2"/>
  <c r="AL4687" i="2" s="1"/>
  <c r="AJ4687" i="2"/>
  <c r="AF4688" i="2"/>
  <c r="AK4688" i="2" s="1"/>
  <c r="AG4688" i="2"/>
  <c r="AH4688" i="2"/>
  <c r="AI4688" i="2"/>
  <c r="AJ4688" i="2"/>
  <c r="AL4688" i="2" s="1"/>
  <c r="AF4689" i="2"/>
  <c r="AK4689" i="2" s="1"/>
  <c r="AG4689" i="2"/>
  <c r="AH4689" i="2"/>
  <c r="AI4689" i="2"/>
  <c r="AJ4689" i="2"/>
  <c r="AF4690" i="2"/>
  <c r="AK4690" i="2"/>
  <c r="AG4690" i="2"/>
  <c r="AH4690" i="2"/>
  <c r="AL4690" i="2"/>
  <c r="AI4690" i="2"/>
  <c r="AJ4690" i="2"/>
  <c r="AF4691" i="2"/>
  <c r="AK4691" i="2"/>
  <c r="AG4691" i="2"/>
  <c r="AH4691" i="2"/>
  <c r="AI4691" i="2"/>
  <c r="AL4691" i="2" s="1"/>
  <c r="AJ4691" i="2"/>
  <c r="AF4692" i="2"/>
  <c r="AK4692" i="2" s="1"/>
  <c r="AG4692" i="2"/>
  <c r="AL4692" i="2"/>
  <c r="AH4692" i="2"/>
  <c r="AI4692" i="2"/>
  <c r="AJ4692" i="2"/>
  <c r="AF4693" i="2"/>
  <c r="AG4693" i="2"/>
  <c r="AH4693" i="2"/>
  <c r="AI4693" i="2"/>
  <c r="AJ4693" i="2"/>
  <c r="AK4693" i="2"/>
  <c r="AF4694" i="2"/>
  <c r="AK4694" i="2" s="1"/>
  <c r="AG4694" i="2"/>
  <c r="AH4694" i="2"/>
  <c r="AI4694" i="2"/>
  <c r="AJ4694" i="2"/>
  <c r="AF4695" i="2"/>
  <c r="AK4695" i="2"/>
  <c r="AG4695" i="2"/>
  <c r="AH4695" i="2"/>
  <c r="AI4695" i="2"/>
  <c r="AJ4695" i="2"/>
  <c r="AF4696" i="2"/>
  <c r="AK4696" i="2" s="1"/>
  <c r="AG4696" i="2"/>
  <c r="AH4696" i="2"/>
  <c r="AI4696" i="2"/>
  <c r="AJ4696" i="2"/>
  <c r="AF4697" i="2"/>
  <c r="AK4697" i="2" s="1"/>
  <c r="AL4697" i="2" s="1"/>
  <c r="AG4697" i="2"/>
  <c r="AH4697" i="2"/>
  <c r="AI4697" i="2"/>
  <c r="AJ4697" i="2"/>
  <c r="AF4698" i="2"/>
  <c r="AK4698" i="2"/>
  <c r="AG4698" i="2"/>
  <c r="AH4698" i="2"/>
  <c r="AI4698" i="2"/>
  <c r="AJ4698" i="2"/>
  <c r="AF4699" i="2"/>
  <c r="AK4699" i="2"/>
  <c r="AG4699" i="2"/>
  <c r="AH4699" i="2"/>
  <c r="AL4699" i="2"/>
  <c r="AI4699" i="2"/>
  <c r="AJ4699" i="2"/>
  <c r="AF4700" i="2"/>
  <c r="AK4700" i="2" s="1"/>
  <c r="AG4700" i="2"/>
  <c r="AH4700" i="2"/>
  <c r="AI4700" i="2"/>
  <c r="AJ4700" i="2"/>
  <c r="AF4701" i="2"/>
  <c r="AK4701" i="2"/>
  <c r="AG4701" i="2"/>
  <c r="AH4701" i="2"/>
  <c r="AI4701" i="2"/>
  <c r="AJ4701" i="2"/>
  <c r="AF4702" i="2"/>
  <c r="AK4702" i="2" s="1"/>
  <c r="AG4702" i="2"/>
  <c r="AH4702" i="2"/>
  <c r="AI4702" i="2"/>
  <c r="AJ4702" i="2"/>
  <c r="AF4703" i="2"/>
  <c r="AK4703" i="2" s="1"/>
  <c r="AG4703" i="2"/>
  <c r="AH4703" i="2"/>
  <c r="AI4703" i="2"/>
  <c r="AJ4703" i="2"/>
  <c r="AF4704" i="2"/>
  <c r="AK4704" i="2"/>
  <c r="AL4704" i="2" s="1"/>
  <c r="AG4704" i="2"/>
  <c r="AH4704" i="2"/>
  <c r="AI4704" i="2"/>
  <c r="AJ4704" i="2"/>
  <c r="AF4705" i="2"/>
  <c r="AK4705" i="2" s="1"/>
  <c r="AG4705" i="2"/>
  <c r="AH4705" i="2"/>
  <c r="AI4705" i="2"/>
  <c r="AJ4705" i="2"/>
  <c r="AF4706" i="2"/>
  <c r="AK4706" i="2"/>
  <c r="AG4706" i="2"/>
  <c r="AH4706" i="2"/>
  <c r="AI4706" i="2"/>
  <c r="AJ4706" i="2"/>
  <c r="AF4707" i="2"/>
  <c r="AK4707" i="2"/>
  <c r="AG4707" i="2"/>
  <c r="AH4707" i="2"/>
  <c r="AI4707" i="2"/>
  <c r="AJ4707" i="2"/>
  <c r="AF4708" i="2"/>
  <c r="AK4708" i="2" s="1"/>
  <c r="AG4708" i="2"/>
  <c r="AH4708" i="2"/>
  <c r="AI4708" i="2"/>
  <c r="AJ4708" i="2"/>
  <c r="AF4709" i="2"/>
  <c r="AK4709" i="2" s="1"/>
  <c r="AG4709" i="2"/>
  <c r="AL4709" i="2"/>
  <c r="AH4709" i="2"/>
  <c r="AI4709" i="2"/>
  <c r="AJ4709" i="2"/>
  <c r="AF4710" i="2"/>
  <c r="AK4710" i="2"/>
  <c r="AG4710" i="2"/>
  <c r="AH4710" i="2"/>
  <c r="AI4710" i="2"/>
  <c r="AJ4710" i="2"/>
  <c r="AF4711" i="2"/>
  <c r="AG4711" i="2"/>
  <c r="AH4711" i="2"/>
  <c r="AI4711" i="2"/>
  <c r="AJ4711" i="2"/>
  <c r="AK4711" i="2"/>
  <c r="AF4712" i="2"/>
  <c r="AK4712" i="2"/>
  <c r="AG4712" i="2"/>
  <c r="AL4712" i="2" s="1"/>
  <c r="AH4712" i="2"/>
  <c r="AI4712" i="2"/>
  <c r="AJ4712" i="2"/>
  <c r="AF4713" i="2"/>
  <c r="AK4713" i="2" s="1"/>
  <c r="AG4713" i="2"/>
  <c r="AH4713" i="2"/>
  <c r="AI4713" i="2"/>
  <c r="AJ4713" i="2"/>
  <c r="AF4714" i="2"/>
  <c r="AK4714" i="2"/>
  <c r="AG4714" i="2"/>
  <c r="AH4714" i="2"/>
  <c r="AI4714" i="2"/>
  <c r="AJ4714" i="2"/>
  <c r="AL4714" i="2" s="1"/>
  <c r="AF4715" i="2"/>
  <c r="AK4715" i="2" s="1"/>
  <c r="AG4715" i="2"/>
  <c r="AH4715" i="2"/>
  <c r="AI4715" i="2"/>
  <c r="AJ4715" i="2"/>
  <c r="AF4716" i="2"/>
  <c r="AK4716" i="2" s="1"/>
  <c r="AG4716" i="2"/>
  <c r="AH4716" i="2"/>
  <c r="AI4716" i="2"/>
  <c r="AJ4716" i="2"/>
  <c r="AF4717" i="2"/>
  <c r="AK4717" i="2"/>
  <c r="AG4717" i="2"/>
  <c r="AL4717" i="2" s="1"/>
  <c r="AH4717" i="2"/>
  <c r="AI4717" i="2"/>
  <c r="AJ4717" i="2"/>
  <c r="AF4718" i="2"/>
  <c r="AK4718" i="2" s="1"/>
  <c r="AG4718" i="2"/>
  <c r="AL4718" i="2"/>
  <c r="AH4718" i="2"/>
  <c r="AI4718" i="2"/>
  <c r="AJ4718" i="2"/>
  <c r="AF4719" i="2"/>
  <c r="AK4719" i="2"/>
  <c r="AG4719" i="2"/>
  <c r="AH4719" i="2"/>
  <c r="AI4719" i="2"/>
  <c r="AL4719" i="2" s="1"/>
  <c r="AJ4719" i="2"/>
  <c r="AF4720" i="2"/>
  <c r="AK4720" i="2"/>
  <c r="AG4720" i="2"/>
  <c r="AH4720" i="2"/>
  <c r="AI4720" i="2"/>
  <c r="AJ4720" i="2"/>
  <c r="AF4721" i="2"/>
  <c r="AK4721" i="2" s="1"/>
  <c r="AG4721" i="2"/>
  <c r="AH4721" i="2"/>
  <c r="AI4721" i="2"/>
  <c r="AJ4721" i="2"/>
  <c r="AF4722" i="2"/>
  <c r="AK4722" i="2"/>
  <c r="AG4722" i="2"/>
  <c r="AH4722" i="2"/>
  <c r="AI4722" i="2"/>
  <c r="AJ4722" i="2"/>
  <c r="AF4723" i="2"/>
  <c r="AK4723" i="2"/>
  <c r="AG4723" i="2"/>
  <c r="AH4723" i="2"/>
  <c r="AI4723" i="2"/>
  <c r="AJ4723" i="2"/>
  <c r="AL4723" i="2" s="1"/>
  <c r="AF4724" i="2"/>
  <c r="AK4724" i="2"/>
  <c r="AG4724" i="2"/>
  <c r="AH4724" i="2"/>
  <c r="AI4724" i="2"/>
  <c r="AJ4724" i="2"/>
  <c r="AF4725" i="2"/>
  <c r="AK4725" i="2"/>
  <c r="AG4725" i="2"/>
  <c r="AH4725" i="2"/>
  <c r="AI4725" i="2"/>
  <c r="AJ4725" i="2"/>
  <c r="AF4726" i="2"/>
  <c r="AK4726" i="2" s="1"/>
  <c r="AG4726" i="2"/>
  <c r="AH4726" i="2"/>
  <c r="AI4726" i="2"/>
  <c r="AJ4726" i="2"/>
  <c r="AF4727" i="2"/>
  <c r="AK4727" i="2" s="1"/>
  <c r="AG4727" i="2"/>
  <c r="AH4727" i="2"/>
  <c r="AI4727" i="2"/>
  <c r="AJ4727" i="2"/>
  <c r="AF4728" i="2"/>
  <c r="AK4728" i="2"/>
  <c r="AG4728" i="2"/>
  <c r="AH4728" i="2"/>
  <c r="AI4728" i="2"/>
  <c r="AJ4728" i="2"/>
  <c r="AF4729" i="2"/>
  <c r="AK4729" i="2"/>
  <c r="AG4729" i="2"/>
  <c r="AH4729" i="2"/>
  <c r="AI4729" i="2"/>
  <c r="AL4729" i="2" s="1"/>
  <c r="AJ4729" i="2"/>
  <c r="AF4730" i="2"/>
  <c r="AK4730" i="2" s="1"/>
  <c r="AG4730" i="2"/>
  <c r="AH4730" i="2"/>
  <c r="AI4730" i="2"/>
  <c r="AJ4730" i="2"/>
  <c r="AF4731" i="2"/>
  <c r="AK4731" i="2" s="1"/>
  <c r="AG4731" i="2"/>
  <c r="AH4731" i="2"/>
  <c r="AL4731" i="2" s="1"/>
  <c r="AI4731" i="2"/>
  <c r="AJ4731" i="2"/>
  <c r="AF4732" i="2"/>
  <c r="AK4732" i="2"/>
  <c r="AG4732" i="2"/>
  <c r="AH4732" i="2"/>
  <c r="AI4732" i="2"/>
  <c r="AJ4732" i="2"/>
  <c r="AF4733" i="2"/>
  <c r="AK4733" i="2" s="1"/>
  <c r="AG4733" i="2"/>
  <c r="AH4733" i="2"/>
  <c r="AI4733" i="2"/>
  <c r="AJ4733" i="2"/>
  <c r="AF4734" i="2"/>
  <c r="AK4734" i="2"/>
  <c r="AG4734" i="2"/>
  <c r="AH4734" i="2"/>
  <c r="AI4734" i="2"/>
  <c r="AJ4734" i="2"/>
  <c r="AF4735" i="2"/>
  <c r="AK4735" i="2" s="1"/>
  <c r="AG4735" i="2"/>
  <c r="AH4735" i="2"/>
  <c r="AI4735" i="2"/>
  <c r="AJ4735" i="2"/>
  <c r="AL4735" i="2" s="1"/>
  <c r="AF4736" i="2"/>
  <c r="AK4736" i="2"/>
  <c r="AG4736" i="2"/>
  <c r="AH4736" i="2"/>
  <c r="AI4736" i="2"/>
  <c r="AJ4736" i="2"/>
  <c r="AF4737" i="2"/>
  <c r="AK4737" i="2"/>
  <c r="AG4737" i="2"/>
  <c r="AH4737" i="2"/>
  <c r="AI4737" i="2"/>
  <c r="AJ4737" i="2"/>
  <c r="AF4738" i="2"/>
  <c r="AK4738" i="2" s="1"/>
  <c r="AG4738" i="2"/>
  <c r="AH4738" i="2"/>
  <c r="AI4738" i="2"/>
  <c r="AJ4738" i="2"/>
  <c r="AF4739" i="2"/>
  <c r="AK4739" i="2"/>
  <c r="AG4739" i="2"/>
  <c r="AL4739" i="2" s="1"/>
  <c r="AH4739" i="2"/>
  <c r="AI4739" i="2"/>
  <c r="AJ4739" i="2"/>
  <c r="AF4740" i="2"/>
  <c r="AK4740" i="2"/>
  <c r="AG4740" i="2"/>
  <c r="AH4740" i="2"/>
  <c r="AI4740" i="2"/>
  <c r="AJ4740" i="2"/>
  <c r="AF4741" i="2"/>
  <c r="AK4741" i="2" s="1"/>
  <c r="AG4741" i="2"/>
  <c r="AH4741" i="2"/>
  <c r="AI4741" i="2"/>
  <c r="AJ4741" i="2"/>
  <c r="AL4741" i="2" s="1"/>
  <c r="AF4742" i="2"/>
  <c r="AK4742" i="2"/>
  <c r="AG4742" i="2"/>
  <c r="AH4742" i="2"/>
  <c r="AL4742" i="2" s="1"/>
  <c r="AI4742" i="2"/>
  <c r="AJ4742" i="2"/>
  <c r="AF4743" i="2"/>
  <c r="AK4743" i="2" s="1"/>
  <c r="AG4743" i="2"/>
  <c r="AH4743" i="2"/>
  <c r="AI4743" i="2"/>
  <c r="AJ4743" i="2"/>
  <c r="AL4743" i="2" s="1"/>
  <c r="AF4744" i="2"/>
  <c r="AK4744" i="2"/>
  <c r="AG4744" i="2"/>
  <c r="AH4744" i="2"/>
  <c r="AI4744" i="2"/>
  <c r="AJ4744" i="2"/>
  <c r="AF4745" i="2"/>
  <c r="AK4745" i="2" s="1"/>
  <c r="AL4745" i="2"/>
  <c r="AG4745" i="2"/>
  <c r="AH4745" i="2"/>
  <c r="AI4745" i="2"/>
  <c r="AJ4745" i="2"/>
  <c r="AF4746" i="2"/>
  <c r="AK4746" i="2" s="1"/>
  <c r="AG4746" i="2"/>
  <c r="AL4746" i="2" s="1"/>
  <c r="AH4746" i="2"/>
  <c r="AI4746" i="2"/>
  <c r="AJ4746" i="2"/>
  <c r="AF4747" i="2"/>
  <c r="AK4747" i="2"/>
  <c r="AG4747" i="2"/>
  <c r="AH4747" i="2"/>
  <c r="AI4747" i="2"/>
  <c r="AJ4747" i="2"/>
  <c r="AF4748" i="2"/>
  <c r="AK4748" i="2"/>
  <c r="AG4748" i="2"/>
  <c r="AH4748" i="2"/>
  <c r="AI4748" i="2"/>
  <c r="AJ4748" i="2"/>
  <c r="AF4749" i="2"/>
  <c r="AK4749" i="2"/>
  <c r="AG4749" i="2"/>
  <c r="AH4749" i="2"/>
  <c r="AL4749" i="2" s="1"/>
  <c r="AI4749" i="2"/>
  <c r="AJ4749" i="2"/>
  <c r="AF4750" i="2"/>
  <c r="AK4750" i="2" s="1"/>
  <c r="AG4750" i="2"/>
  <c r="AH4750" i="2"/>
  <c r="AI4750" i="2"/>
  <c r="AJ4750" i="2"/>
  <c r="AF4751" i="2"/>
  <c r="AK4751" i="2" s="1"/>
  <c r="AG4751" i="2"/>
  <c r="AH4751" i="2"/>
  <c r="AI4751" i="2"/>
  <c r="AJ4751" i="2"/>
  <c r="AF4752" i="2"/>
  <c r="AK4752" i="2"/>
  <c r="AG4752" i="2"/>
  <c r="AH4752" i="2"/>
  <c r="AI4752" i="2"/>
  <c r="AJ4752" i="2"/>
  <c r="AF4753" i="2"/>
  <c r="AK4753" i="2" s="1"/>
  <c r="AG4753" i="2"/>
  <c r="AL4753" i="2"/>
  <c r="AH4753" i="2"/>
  <c r="AI4753" i="2"/>
  <c r="AJ4753" i="2"/>
  <c r="AF4754" i="2"/>
  <c r="AK4754" i="2"/>
  <c r="AG4754" i="2"/>
  <c r="AH4754" i="2"/>
  <c r="AI4754" i="2"/>
  <c r="AJ4754" i="2"/>
  <c r="AF4755" i="2"/>
  <c r="AK4755" i="2" s="1"/>
  <c r="AG4755" i="2"/>
  <c r="AH4755" i="2"/>
  <c r="AI4755" i="2"/>
  <c r="AJ4755" i="2"/>
  <c r="AF4756" i="2"/>
  <c r="AK4756" i="2"/>
  <c r="AL4756" i="2" s="1"/>
  <c r="AG4756" i="2"/>
  <c r="AH4756" i="2"/>
  <c r="AI4756" i="2"/>
  <c r="AJ4756" i="2"/>
  <c r="AF4757" i="2"/>
  <c r="AK4757" i="2" s="1"/>
  <c r="AG4757" i="2"/>
  <c r="AH4757" i="2"/>
  <c r="AI4757" i="2"/>
  <c r="AJ4757" i="2"/>
  <c r="AF4758" i="2"/>
  <c r="AK4758" i="2"/>
  <c r="AG4758" i="2"/>
  <c r="AH4758" i="2"/>
  <c r="AI4758" i="2"/>
  <c r="AJ4758" i="2"/>
  <c r="AF4759" i="2"/>
  <c r="AK4759" i="2" s="1"/>
  <c r="AL4759" i="2" s="1"/>
  <c r="AG4759" i="2"/>
  <c r="AH4759" i="2"/>
  <c r="AI4759" i="2"/>
  <c r="AJ4759" i="2"/>
  <c r="AF4760" i="2"/>
  <c r="AK4760" i="2" s="1"/>
  <c r="AG4760" i="2"/>
  <c r="AH4760" i="2"/>
  <c r="AI4760" i="2"/>
  <c r="AJ4760" i="2"/>
  <c r="AF4761" i="2"/>
  <c r="AK4761" i="2"/>
  <c r="AG4761" i="2"/>
  <c r="AH4761" i="2"/>
  <c r="AI4761" i="2"/>
  <c r="AL4761" i="2" s="1"/>
  <c r="AJ4761" i="2"/>
  <c r="AF4762" i="2"/>
  <c r="AK4762" i="2" s="1"/>
  <c r="AG4762" i="2"/>
  <c r="AH4762" i="2"/>
  <c r="AI4762" i="2"/>
  <c r="AJ4762" i="2"/>
  <c r="AF4763" i="2"/>
  <c r="AK4763" i="2"/>
  <c r="AG4763" i="2"/>
  <c r="AH4763" i="2"/>
  <c r="AI4763" i="2"/>
  <c r="AJ4763" i="2"/>
  <c r="AF4764" i="2"/>
  <c r="AK4764" i="2"/>
  <c r="AG4764" i="2"/>
  <c r="AH4764" i="2"/>
  <c r="AI4764" i="2"/>
  <c r="AJ4764" i="2"/>
  <c r="AF4765" i="2"/>
  <c r="AK4765" i="2"/>
  <c r="AG4765" i="2"/>
  <c r="AL4765" i="2" s="1"/>
  <c r="AH4765" i="2"/>
  <c r="AI4765" i="2"/>
  <c r="AJ4765" i="2"/>
  <c r="AF4766" i="2"/>
  <c r="AK4766" i="2" s="1"/>
  <c r="AL4766" i="2" s="1"/>
  <c r="AG4766" i="2"/>
  <c r="AH4766" i="2"/>
  <c r="AI4766" i="2"/>
  <c r="AJ4766" i="2"/>
  <c r="AF4767" i="2"/>
  <c r="AK4767" i="2" s="1"/>
  <c r="AG4767" i="2"/>
  <c r="AH4767" i="2"/>
  <c r="AI4767" i="2"/>
  <c r="AL4767" i="2" s="1"/>
  <c r="AJ4767" i="2"/>
  <c r="AF4768" i="2"/>
  <c r="AK4768" i="2"/>
  <c r="AG4768" i="2"/>
  <c r="AH4768" i="2"/>
  <c r="AI4768" i="2"/>
  <c r="AJ4768" i="2"/>
  <c r="AF4769" i="2"/>
  <c r="AK4769" i="2" s="1"/>
  <c r="AL4769" i="2" s="1"/>
  <c r="AG4769" i="2"/>
  <c r="AH4769" i="2"/>
  <c r="AI4769" i="2"/>
  <c r="AJ4769" i="2"/>
  <c r="AF4770" i="2"/>
  <c r="AK4770" i="2" s="1"/>
  <c r="AL4770" i="2" s="1"/>
  <c r="AG4770" i="2"/>
  <c r="AH4770" i="2"/>
  <c r="AI4770" i="2"/>
  <c r="AJ4770" i="2"/>
  <c r="AF4771" i="2"/>
  <c r="AK4771" i="2"/>
  <c r="AG4771" i="2"/>
  <c r="AH4771" i="2"/>
  <c r="AI4771" i="2"/>
  <c r="AJ4771" i="2"/>
  <c r="AF4772" i="2"/>
  <c r="AK4772" i="2"/>
  <c r="AG4772" i="2"/>
  <c r="AH4772" i="2"/>
  <c r="AI4772" i="2"/>
  <c r="AJ4772" i="2"/>
  <c r="AF4773" i="2"/>
  <c r="AK4773" i="2"/>
  <c r="AG4773" i="2"/>
  <c r="AH4773" i="2"/>
  <c r="AI4773" i="2"/>
  <c r="AJ4773" i="2"/>
  <c r="AL4773" i="2"/>
  <c r="AF4774" i="2"/>
  <c r="AK4774" i="2" s="1"/>
  <c r="AG4774" i="2"/>
  <c r="AL4774" i="2" s="1"/>
  <c r="AH4774" i="2"/>
  <c r="AI4774" i="2"/>
  <c r="AJ4774" i="2"/>
  <c r="AF4775" i="2"/>
  <c r="AK4775" i="2"/>
  <c r="AG4775" i="2"/>
  <c r="AL4775" i="2" s="1"/>
  <c r="AH4775" i="2"/>
  <c r="AI4775" i="2"/>
  <c r="AJ4775" i="2"/>
  <c r="AF4776" i="2"/>
  <c r="AK4776" i="2" s="1"/>
  <c r="AG4776" i="2"/>
  <c r="AH4776" i="2"/>
  <c r="AI4776" i="2"/>
  <c r="AJ4776" i="2"/>
  <c r="AF4777" i="2"/>
  <c r="AK4777" i="2"/>
  <c r="AG4777" i="2"/>
  <c r="AH4777" i="2"/>
  <c r="AI4777" i="2"/>
  <c r="AL4777" i="2" s="1"/>
  <c r="AJ4777" i="2"/>
  <c r="AF4778" i="2"/>
  <c r="AK4778" i="2" s="1"/>
  <c r="AL4778" i="2" s="1"/>
  <c r="AG4778" i="2"/>
  <c r="AH4778" i="2"/>
  <c r="AI4778" i="2"/>
  <c r="AJ4778" i="2"/>
  <c r="AF4779" i="2"/>
  <c r="AK4779" i="2" s="1"/>
  <c r="AG4779" i="2"/>
  <c r="AH4779" i="2"/>
  <c r="AI4779" i="2"/>
  <c r="AL4779" i="2" s="1"/>
  <c r="AJ4779" i="2"/>
  <c r="AF4780" i="2"/>
  <c r="AK4780" i="2" s="1"/>
  <c r="AG4780" i="2"/>
  <c r="AH4780" i="2"/>
  <c r="AI4780" i="2"/>
  <c r="AJ4780" i="2"/>
  <c r="AF4781" i="2"/>
  <c r="AK4781" i="2"/>
  <c r="AG4781" i="2"/>
  <c r="AH4781" i="2"/>
  <c r="AI4781" i="2"/>
  <c r="AJ4781" i="2"/>
  <c r="AL4781" i="2" s="1"/>
  <c r="AF4782" i="2"/>
  <c r="AK4782" i="2"/>
  <c r="AL4782" i="2"/>
  <c r="AG4782" i="2"/>
  <c r="AH4782" i="2"/>
  <c r="AI4782" i="2"/>
  <c r="AJ4782" i="2"/>
  <c r="AF4783" i="2"/>
  <c r="AK4783" i="2" s="1"/>
  <c r="AG4783" i="2"/>
  <c r="AL4783" i="2" s="1"/>
  <c r="AH4783" i="2"/>
  <c r="AI4783" i="2"/>
  <c r="AJ4783" i="2"/>
  <c r="AF4784" i="2"/>
  <c r="AK4784" i="2"/>
  <c r="AG4784" i="2"/>
  <c r="AH4784" i="2"/>
  <c r="AI4784" i="2"/>
  <c r="AL4784" i="2"/>
  <c r="AJ4784" i="2"/>
  <c r="AF4785" i="2"/>
  <c r="AK4785" i="2" s="1"/>
  <c r="AG4785" i="2"/>
  <c r="AH4785" i="2"/>
  <c r="AI4785" i="2"/>
  <c r="AJ4785" i="2"/>
  <c r="AF4786" i="2"/>
  <c r="AK4786" i="2" s="1"/>
  <c r="AG4786" i="2"/>
  <c r="AL4786" i="2" s="1"/>
  <c r="AH4786" i="2"/>
  <c r="AI4786" i="2"/>
  <c r="AJ4786" i="2"/>
  <c r="AF4787" i="2"/>
  <c r="AK4787" i="2"/>
  <c r="AG4787" i="2"/>
  <c r="AH4787" i="2"/>
  <c r="AL4787" i="2" s="1"/>
  <c r="AI4787" i="2"/>
  <c r="AJ4787" i="2"/>
  <c r="AF4788" i="2"/>
  <c r="AK4788" i="2"/>
  <c r="AG4788" i="2"/>
  <c r="AH4788" i="2"/>
  <c r="AI4788" i="2"/>
  <c r="AJ4788" i="2"/>
  <c r="AF4789" i="2"/>
  <c r="AK4789" i="2" s="1"/>
  <c r="AG4789" i="2"/>
  <c r="AH4789" i="2"/>
  <c r="AI4789" i="2"/>
  <c r="AJ4789" i="2"/>
  <c r="AF4790" i="2"/>
  <c r="AK4790" i="2" s="1"/>
  <c r="AG4790" i="2"/>
  <c r="AL4790" i="2"/>
  <c r="AH4790" i="2"/>
  <c r="AI4790" i="2"/>
  <c r="AJ4790" i="2"/>
  <c r="AF4791" i="2"/>
  <c r="AK4791" i="2"/>
  <c r="AG4791" i="2"/>
  <c r="AH4791" i="2"/>
  <c r="AL4791" i="2" s="1"/>
  <c r="AI4791" i="2"/>
  <c r="AJ4791" i="2"/>
  <c r="AF4792" i="2"/>
  <c r="AK4792" i="2" s="1"/>
  <c r="AG4792" i="2"/>
  <c r="AH4792" i="2"/>
  <c r="AL4792" i="2" s="1"/>
  <c r="AI4792" i="2"/>
  <c r="AJ4792" i="2"/>
  <c r="AF4793" i="2"/>
  <c r="AK4793" i="2"/>
  <c r="AG4793" i="2"/>
  <c r="AH4793" i="2"/>
  <c r="AI4793" i="2"/>
  <c r="AJ4793" i="2"/>
  <c r="AF4794" i="2"/>
  <c r="AK4794" i="2"/>
  <c r="AL4794" i="2" s="1"/>
  <c r="AG4794" i="2"/>
  <c r="AH4794" i="2"/>
  <c r="AI4794" i="2"/>
  <c r="AJ4794" i="2"/>
  <c r="AF4795" i="2"/>
  <c r="AK4795" i="2"/>
  <c r="AG4795" i="2"/>
  <c r="AH4795" i="2"/>
  <c r="AI4795" i="2"/>
  <c r="AJ4795" i="2"/>
  <c r="AF4796" i="2"/>
  <c r="AK4796" i="2"/>
  <c r="AG4796" i="2"/>
  <c r="AH4796" i="2"/>
  <c r="AI4796" i="2"/>
  <c r="AJ4796" i="2"/>
  <c r="AL4796" i="2" s="1"/>
  <c r="AF4797" i="2"/>
  <c r="AK4797" i="2"/>
  <c r="AG4797" i="2"/>
  <c r="AH4797" i="2"/>
  <c r="AI4797" i="2"/>
  <c r="AJ4797" i="2"/>
  <c r="AF4798" i="2"/>
  <c r="AK4798" i="2"/>
  <c r="AG4798" i="2"/>
  <c r="AH4798" i="2"/>
  <c r="AI4798" i="2"/>
  <c r="AJ4798" i="2"/>
  <c r="AF4799" i="2"/>
  <c r="AK4799" i="2"/>
  <c r="AG4799" i="2"/>
  <c r="AH4799" i="2"/>
  <c r="AL4799" i="2" s="1"/>
  <c r="AI4799" i="2"/>
  <c r="AJ4799" i="2"/>
  <c r="AF4800" i="2"/>
  <c r="AK4800" i="2" s="1"/>
  <c r="AG4800" i="2"/>
  <c r="AH4800" i="2"/>
  <c r="AI4800" i="2"/>
  <c r="AJ4800" i="2"/>
  <c r="AF4801" i="2"/>
  <c r="AK4801" i="2"/>
  <c r="AG4801" i="2"/>
  <c r="AH4801" i="2"/>
  <c r="AI4801" i="2"/>
  <c r="AL4801" i="2" s="1"/>
  <c r="AJ4801" i="2"/>
  <c r="AF4802" i="2"/>
  <c r="AK4802" i="2"/>
  <c r="AG4802" i="2"/>
  <c r="AH4802" i="2"/>
  <c r="AI4802" i="2"/>
  <c r="AJ4802" i="2"/>
  <c r="AF4803" i="2"/>
  <c r="AK4803" i="2" s="1"/>
  <c r="AG4803" i="2"/>
  <c r="AH4803" i="2"/>
  <c r="AI4803" i="2"/>
  <c r="AJ4803" i="2"/>
  <c r="AF4804" i="2"/>
  <c r="AK4804" i="2"/>
  <c r="AG4804" i="2"/>
  <c r="AH4804" i="2"/>
  <c r="AI4804" i="2"/>
  <c r="AL4804" i="2" s="1"/>
  <c r="AJ4804" i="2"/>
  <c r="AF4805" i="2"/>
  <c r="AK4805" i="2" s="1"/>
  <c r="AG4805" i="2"/>
  <c r="AH4805" i="2"/>
  <c r="AI4805" i="2"/>
  <c r="AJ4805" i="2"/>
  <c r="AF4806" i="2"/>
  <c r="AK4806" i="2" s="1"/>
  <c r="AL4806" i="2" s="1"/>
  <c r="AG4806" i="2"/>
  <c r="AH4806" i="2"/>
  <c r="AI4806" i="2"/>
  <c r="AJ4806" i="2"/>
  <c r="AF4807" i="2"/>
  <c r="AK4807" i="2"/>
  <c r="AG4807" i="2"/>
  <c r="AL4807" i="2" s="1"/>
  <c r="AH4807" i="2"/>
  <c r="AI4807" i="2"/>
  <c r="AJ4807" i="2"/>
  <c r="AF4808" i="2"/>
  <c r="AK4808" i="2"/>
  <c r="AG4808" i="2"/>
  <c r="AH4808" i="2"/>
  <c r="AL4808" i="2" s="1"/>
  <c r="AI4808" i="2"/>
  <c r="AJ4808" i="2"/>
  <c r="AF4809" i="2"/>
  <c r="AK4809" i="2" s="1"/>
  <c r="AG4809" i="2"/>
  <c r="AH4809" i="2"/>
  <c r="AI4809" i="2"/>
  <c r="AJ4809" i="2"/>
  <c r="AF4810" i="2"/>
  <c r="AK4810" i="2"/>
  <c r="AG4810" i="2"/>
  <c r="AL4810" i="2" s="1"/>
  <c r="AH4810" i="2"/>
  <c r="AI4810" i="2"/>
  <c r="AJ4810" i="2"/>
  <c r="AF4811" i="2"/>
  <c r="AK4811" i="2" s="1"/>
  <c r="AL4811" i="2" s="1"/>
  <c r="AG4811" i="2"/>
  <c r="AH4811" i="2"/>
  <c r="AI4811" i="2"/>
  <c r="AJ4811" i="2"/>
  <c r="AF4812" i="2"/>
  <c r="AK4812" i="2" s="1"/>
  <c r="AG4812" i="2"/>
  <c r="AH4812" i="2"/>
  <c r="AI4812" i="2"/>
  <c r="AJ4812" i="2"/>
  <c r="AF4813" i="2"/>
  <c r="AK4813" i="2"/>
  <c r="AG4813" i="2"/>
  <c r="AH4813" i="2"/>
  <c r="AI4813" i="2"/>
  <c r="AJ4813" i="2"/>
  <c r="AF4814" i="2"/>
  <c r="AK4814" i="2" s="1"/>
  <c r="AG4814" i="2"/>
  <c r="AH4814" i="2"/>
  <c r="AI4814" i="2"/>
  <c r="AJ4814" i="2"/>
  <c r="AF4815" i="2"/>
  <c r="AK4815" i="2"/>
  <c r="AG4815" i="2"/>
  <c r="AH4815" i="2"/>
  <c r="AL4815" i="2" s="1"/>
  <c r="AI4815" i="2"/>
  <c r="AJ4815" i="2"/>
  <c r="AF4816" i="2"/>
  <c r="AK4816" i="2" s="1"/>
  <c r="AL4816" i="2" s="1"/>
  <c r="AG4816" i="2"/>
  <c r="AH4816" i="2"/>
  <c r="AI4816" i="2"/>
  <c r="AJ4816" i="2"/>
  <c r="AF4817" i="2"/>
  <c r="AK4817" i="2" s="1"/>
  <c r="AG4817" i="2"/>
  <c r="AH4817" i="2"/>
  <c r="AI4817" i="2"/>
  <c r="AJ4817" i="2"/>
  <c r="AF4818" i="2"/>
  <c r="AK4818" i="2"/>
  <c r="AG4818" i="2"/>
  <c r="AH4818" i="2"/>
  <c r="AI4818" i="2"/>
  <c r="AL4818" i="2" s="1"/>
  <c r="AJ4818" i="2"/>
  <c r="AF4819" i="2"/>
  <c r="AK4819" i="2" s="1"/>
  <c r="AL4819" i="2" s="1"/>
  <c r="AG4819" i="2"/>
  <c r="AH4819" i="2"/>
  <c r="AI4819" i="2"/>
  <c r="AJ4819" i="2"/>
  <c r="AF4820" i="2"/>
  <c r="AK4820" i="2" s="1"/>
  <c r="AG4820" i="2"/>
  <c r="AH4820" i="2"/>
  <c r="AI4820" i="2"/>
  <c r="AJ4820" i="2"/>
  <c r="AF4821" i="2"/>
  <c r="AK4821" i="2"/>
  <c r="AL4821" i="2" s="1"/>
  <c r="AG4821" i="2"/>
  <c r="AH4821" i="2"/>
  <c r="AI4821" i="2"/>
  <c r="AJ4821" i="2"/>
  <c r="AF4822" i="2"/>
  <c r="AK4822" i="2"/>
  <c r="AG4822" i="2"/>
  <c r="AL4822" i="2"/>
  <c r="AH4822" i="2"/>
  <c r="AI4822" i="2"/>
  <c r="AJ4822" i="2"/>
  <c r="AF4823" i="2"/>
  <c r="AK4823" i="2"/>
  <c r="AG4823" i="2"/>
  <c r="AL4823" i="2" s="1"/>
  <c r="AH4823" i="2"/>
  <c r="AI4823" i="2"/>
  <c r="AJ4823" i="2"/>
  <c r="AF4824" i="2"/>
  <c r="AK4824" i="2" s="1"/>
  <c r="AG4824" i="2"/>
  <c r="AH4824" i="2"/>
  <c r="AI4824" i="2"/>
  <c r="AJ4824" i="2"/>
  <c r="AF4825" i="2"/>
  <c r="AK4825" i="2"/>
  <c r="AG4825" i="2"/>
  <c r="AH4825" i="2"/>
  <c r="AI4825" i="2"/>
  <c r="AJ4825" i="2"/>
  <c r="AF4826" i="2"/>
  <c r="AK4826" i="2"/>
  <c r="AL4826" i="2" s="1"/>
  <c r="AG4826" i="2"/>
  <c r="AH4826" i="2"/>
  <c r="AI4826" i="2"/>
  <c r="AJ4826" i="2"/>
  <c r="AF4827" i="2"/>
  <c r="AK4827" i="2" s="1"/>
  <c r="AG4827" i="2"/>
  <c r="AL4827" i="2" s="1"/>
  <c r="AH4827" i="2"/>
  <c r="AI4827" i="2"/>
  <c r="AJ4827" i="2"/>
  <c r="AF4828" i="2"/>
  <c r="AK4828" i="2"/>
  <c r="AG4828" i="2"/>
  <c r="AL4828" i="2" s="1"/>
  <c r="AH4828" i="2"/>
  <c r="AI4828" i="2"/>
  <c r="AJ4828" i="2"/>
  <c r="AF4829" i="2"/>
  <c r="AK4829" i="2"/>
  <c r="AG4829" i="2"/>
  <c r="AH4829" i="2"/>
  <c r="AI4829" i="2"/>
  <c r="AL4829" i="2" s="1"/>
  <c r="AJ4829" i="2"/>
  <c r="AF4830" i="2"/>
  <c r="AK4830" i="2" s="1"/>
  <c r="AG4830" i="2"/>
  <c r="AH4830" i="2"/>
  <c r="AI4830" i="2"/>
  <c r="AJ4830" i="2"/>
  <c r="AF4831" i="2"/>
  <c r="AK4831" i="2"/>
  <c r="AG4831" i="2"/>
  <c r="AL4831" i="2" s="1"/>
  <c r="AH4831" i="2"/>
  <c r="AI4831" i="2"/>
  <c r="AJ4831" i="2"/>
  <c r="AF4832" i="2"/>
  <c r="AK4832" i="2" s="1"/>
  <c r="AG4832" i="2"/>
  <c r="AH4832" i="2"/>
  <c r="AI4832" i="2"/>
  <c r="AJ4832" i="2"/>
  <c r="AF4833" i="2"/>
  <c r="AK4833" i="2"/>
  <c r="AL4833" i="2" s="1"/>
  <c r="AG4833" i="2"/>
  <c r="AH4833" i="2"/>
  <c r="AI4833" i="2"/>
  <c r="AJ4833" i="2"/>
  <c r="AF4834" i="2"/>
  <c r="AK4834" i="2" s="1"/>
  <c r="AL4834" i="2" s="1"/>
  <c r="AG4834" i="2"/>
  <c r="AH4834" i="2"/>
  <c r="AI4834" i="2"/>
  <c r="AJ4834" i="2"/>
  <c r="AF4835" i="2"/>
  <c r="AK4835" i="2"/>
  <c r="AG4835" i="2"/>
  <c r="AH4835" i="2"/>
  <c r="AL4835" i="2" s="1"/>
  <c r="AI4835" i="2"/>
  <c r="AJ4835" i="2"/>
  <c r="AF4836" i="2"/>
  <c r="AK4836" i="2" s="1"/>
  <c r="AG4836" i="2"/>
  <c r="AH4836" i="2"/>
  <c r="AI4836" i="2"/>
  <c r="AJ4836" i="2"/>
  <c r="AF4837" i="2"/>
  <c r="AK4837" i="2"/>
  <c r="AG4837" i="2"/>
  <c r="AH4837" i="2"/>
  <c r="AI4837" i="2"/>
  <c r="AJ4837" i="2"/>
  <c r="AF4838" i="2"/>
  <c r="AK4838" i="2"/>
  <c r="AL4838" i="2" s="1"/>
  <c r="AG4838" i="2"/>
  <c r="AH4838" i="2"/>
  <c r="AI4838" i="2"/>
  <c r="AJ4838" i="2"/>
  <c r="AF4839" i="2"/>
  <c r="AK4839" i="2" s="1"/>
  <c r="AG4839" i="2"/>
  <c r="AL4839" i="2" s="1"/>
  <c r="AH4839" i="2"/>
  <c r="AI4839" i="2"/>
  <c r="AJ4839" i="2"/>
  <c r="AF4840" i="2"/>
  <c r="AK4840" i="2"/>
  <c r="AG4840" i="2"/>
  <c r="AH4840" i="2"/>
  <c r="AL4840" i="2" s="1"/>
  <c r="AI4840" i="2"/>
  <c r="AJ4840" i="2"/>
  <c r="AF4841" i="2"/>
  <c r="AK4841" i="2" s="1"/>
  <c r="AG4841" i="2"/>
  <c r="AL4841" i="2" s="1"/>
  <c r="AH4841" i="2"/>
  <c r="AI4841" i="2"/>
  <c r="AJ4841" i="2"/>
  <c r="AF4842" i="2"/>
  <c r="AK4842" i="2" s="1"/>
  <c r="AG4842" i="2"/>
  <c r="AH4842" i="2"/>
  <c r="AL4842" i="2" s="1"/>
  <c r="AI4842" i="2"/>
  <c r="AJ4842" i="2"/>
  <c r="AF4843" i="2"/>
  <c r="AK4843" i="2"/>
  <c r="AG4843" i="2"/>
  <c r="AH4843" i="2"/>
  <c r="AI4843" i="2"/>
  <c r="AJ4843" i="2"/>
  <c r="AF4844" i="2"/>
  <c r="AK4844" i="2"/>
  <c r="AL4844" i="2" s="1"/>
  <c r="AG4844" i="2"/>
  <c r="AH4844" i="2"/>
  <c r="AI4844" i="2"/>
  <c r="AJ4844" i="2"/>
  <c r="AF4845" i="2"/>
  <c r="AK4845" i="2" s="1"/>
  <c r="AG4845" i="2"/>
  <c r="AH4845" i="2"/>
  <c r="AI4845" i="2"/>
  <c r="AJ4845" i="2"/>
  <c r="AF4846" i="2"/>
  <c r="AK4846" i="2"/>
  <c r="AG4846" i="2"/>
  <c r="AH4846" i="2"/>
  <c r="AL4846" i="2" s="1"/>
  <c r="AI4846" i="2"/>
  <c r="AJ4846" i="2"/>
  <c r="AF4847" i="2"/>
  <c r="AK4847" i="2"/>
  <c r="AG4847" i="2"/>
  <c r="AH4847" i="2"/>
  <c r="AL4847" i="2"/>
  <c r="AI4847" i="2"/>
  <c r="AJ4847" i="2"/>
  <c r="AF4848" i="2"/>
  <c r="AK4848" i="2" s="1"/>
  <c r="AG4848" i="2"/>
  <c r="AH4848" i="2"/>
  <c r="AI4848" i="2"/>
  <c r="AJ4848" i="2"/>
  <c r="AL4848" i="2" s="1"/>
  <c r="AF4849" i="2"/>
  <c r="AK4849" i="2"/>
  <c r="AG4849" i="2"/>
  <c r="AH4849" i="2"/>
  <c r="AL4849" i="2" s="1"/>
  <c r="AI4849" i="2"/>
  <c r="AJ4849" i="2"/>
  <c r="AF4850" i="2"/>
  <c r="AK4850" i="2" s="1"/>
  <c r="AL4850" i="2" s="1"/>
  <c r="AG4850" i="2"/>
  <c r="AH4850" i="2"/>
  <c r="AI4850" i="2"/>
  <c r="AJ4850" i="2"/>
  <c r="AF4851" i="2"/>
  <c r="AK4851" i="2" s="1"/>
  <c r="AG4851" i="2"/>
  <c r="AL4851" i="2" s="1"/>
  <c r="AH4851" i="2"/>
  <c r="AI4851" i="2"/>
  <c r="AJ4851" i="2"/>
  <c r="AF4852" i="2"/>
  <c r="AK4852" i="2"/>
  <c r="AG4852" i="2"/>
  <c r="AH4852" i="2"/>
  <c r="AL4852" i="2" s="1"/>
  <c r="AI4852" i="2"/>
  <c r="AJ4852" i="2"/>
  <c r="AF4853" i="2"/>
  <c r="AK4853" i="2"/>
  <c r="AG4853" i="2"/>
  <c r="AH4853" i="2"/>
  <c r="AI4853" i="2"/>
  <c r="AJ4853" i="2"/>
  <c r="AF4854" i="2"/>
  <c r="AK4854" i="2" s="1"/>
  <c r="AG4854" i="2"/>
  <c r="AH4854" i="2"/>
  <c r="AI4854" i="2"/>
  <c r="AJ4854" i="2"/>
  <c r="AF4855" i="2"/>
  <c r="AK4855" i="2"/>
  <c r="AG4855" i="2"/>
  <c r="AL4855" i="2" s="1"/>
  <c r="AH4855" i="2"/>
  <c r="AI4855" i="2"/>
  <c r="AJ4855" i="2"/>
  <c r="AF4856" i="2"/>
  <c r="AK4856" i="2" s="1"/>
  <c r="AL4856" i="2" s="1"/>
  <c r="AG4856" i="2"/>
  <c r="AH4856" i="2"/>
  <c r="AI4856" i="2"/>
  <c r="AJ4856" i="2"/>
  <c r="AF4857" i="2"/>
  <c r="AK4857" i="2" s="1"/>
  <c r="AG4857" i="2"/>
  <c r="AH4857" i="2"/>
  <c r="AI4857" i="2"/>
  <c r="AJ4857" i="2"/>
  <c r="AF4858" i="2"/>
  <c r="AK4858" i="2"/>
  <c r="AG4858" i="2"/>
  <c r="AH4858" i="2"/>
  <c r="AL4858" i="2" s="1"/>
  <c r="AI4858" i="2"/>
  <c r="AJ4858" i="2"/>
  <c r="AF4859" i="2"/>
  <c r="AK4859" i="2" s="1"/>
  <c r="AG4859" i="2"/>
  <c r="AH4859" i="2"/>
  <c r="AI4859" i="2"/>
  <c r="AL4859" i="2" s="1"/>
  <c r="AJ4859" i="2"/>
  <c r="AF4860" i="2"/>
  <c r="AK4860" i="2" s="1"/>
  <c r="AL4860" i="2" s="1"/>
  <c r="AG4860" i="2"/>
  <c r="AH4860" i="2"/>
  <c r="AI4860" i="2"/>
  <c r="AJ4860" i="2"/>
  <c r="AF4861" i="2"/>
  <c r="AK4861" i="2" s="1"/>
  <c r="AL4861" i="2" s="1"/>
  <c r="AG4861" i="2"/>
  <c r="AH4861" i="2"/>
  <c r="AI4861" i="2"/>
  <c r="AJ4861" i="2"/>
  <c r="AF4862" i="2"/>
  <c r="AK4862" i="2"/>
  <c r="AL4862" i="2" s="1"/>
  <c r="AG4862" i="2"/>
  <c r="AH4862" i="2"/>
  <c r="AI4862" i="2"/>
  <c r="AJ4862" i="2"/>
  <c r="AF4863" i="2"/>
  <c r="AK4863" i="2" s="1"/>
  <c r="AG4863" i="2"/>
  <c r="AH4863" i="2"/>
  <c r="AI4863" i="2"/>
  <c r="AJ4863" i="2"/>
  <c r="AF4864" i="2"/>
  <c r="AK4864" i="2"/>
  <c r="AG4864" i="2"/>
  <c r="AL4864" i="2"/>
  <c r="AH4864" i="2"/>
  <c r="AI4864" i="2"/>
  <c r="AJ4864" i="2"/>
  <c r="AF4865" i="2"/>
  <c r="AK4865" i="2"/>
  <c r="AG4865" i="2"/>
  <c r="AH4865" i="2"/>
  <c r="AI4865" i="2"/>
  <c r="AL4865" i="2" s="1"/>
  <c r="AJ4865" i="2"/>
  <c r="AF4866" i="2"/>
  <c r="AK4866" i="2" s="1"/>
  <c r="AG4866" i="2"/>
  <c r="AH4866" i="2"/>
  <c r="AI4866" i="2"/>
  <c r="AJ4866" i="2"/>
  <c r="AF4867" i="2"/>
  <c r="AK4867" i="2" s="1"/>
  <c r="AG4867" i="2"/>
  <c r="AL4867" i="2" s="1"/>
  <c r="AH4867" i="2"/>
  <c r="AI4867" i="2"/>
  <c r="AJ4867" i="2"/>
  <c r="AF4868" i="2"/>
  <c r="AK4868" i="2"/>
  <c r="AG4868" i="2"/>
  <c r="AL4868" i="2" s="1"/>
  <c r="AH4868" i="2"/>
  <c r="AI4868" i="2"/>
  <c r="AJ4868" i="2"/>
  <c r="AF4869" i="2"/>
  <c r="AK4869" i="2" s="1"/>
  <c r="AG4869" i="2"/>
  <c r="AH4869" i="2"/>
  <c r="AI4869" i="2"/>
  <c r="AJ4869" i="2"/>
  <c r="AF4870" i="2"/>
  <c r="AK4870" i="2"/>
  <c r="AG4870" i="2"/>
  <c r="AH4870" i="2"/>
  <c r="AL4870" i="2" s="1"/>
  <c r="AI4870" i="2"/>
  <c r="AJ4870" i="2"/>
  <c r="AF4871" i="2"/>
  <c r="AK4871" i="2" s="1"/>
  <c r="AG4871" i="2"/>
  <c r="AH4871" i="2"/>
  <c r="AI4871" i="2"/>
  <c r="AJ4871" i="2"/>
  <c r="AF4872" i="2"/>
  <c r="AK4872" i="2"/>
  <c r="AG4872" i="2"/>
  <c r="AH4872" i="2"/>
  <c r="AI4872" i="2"/>
  <c r="AJ4872" i="2"/>
  <c r="AF4873" i="2"/>
  <c r="AK4873" i="2" s="1"/>
  <c r="AG4873" i="2"/>
  <c r="AH4873" i="2"/>
  <c r="AI4873" i="2"/>
  <c r="AJ4873" i="2"/>
  <c r="AF4874" i="2"/>
  <c r="AK4874" i="2"/>
  <c r="AG4874" i="2"/>
  <c r="AH4874" i="2"/>
  <c r="AI4874" i="2"/>
  <c r="AJ4874" i="2"/>
  <c r="AF4875" i="2"/>
  <c r="AK4875" i="2"/>
  <c r="AG4875" i="2"/>
  <c r="AH4875" i="2"/>
  <c r="AI4875" i="2"/>
  <c r="AJ4875" i="2"/>
  <c r="AF4876" i="2"/>
  <c r="AK4876" i="2"/>
  <c r="AG4876" i="2"/>
  <c r="AL4876" i="2"/>
  <c r="AH4876" i="2"/>
  <c r="AI4876" i="2"/>
  <c r="AJ4876" i="2"/>
  <c r="AF4877" i="2"/>
  <c r="AG4877" i="2"/>
  <c r="AH4877" i="2"/>
  <c r="AI4877" i="2"/>
  <c r="AJ4877" i="2"/>
  <c r="AL4877" i="2" s="1"/>
  <c r="AK4877" i="2"/>
  <c r="AF4878" i="2"/>
  <c r="AK4878" i="2" s="1"/>
  <c r="AG4878" i="2"/>
  <c r="AH4878" i="2"/>
  <c r="AI4878" i="2"/>
  <c r="AJ4878" i="2"/>
  <c r="AL4878" i="2" s="1"/>
  <c r="AF4879" i="2"/>
  <c r="AK4879" i="2"/>
  <c r="AG4879" i="2"/>
  <c r="AH4879" i="2"/>
  <c r="AI4879" i="2"/>
  <c r="AJ4879" i="2"/>
  <c r="AF4880" i="2"/>
  <c r="AK4880" i="2"/>
  <c r="AL4880" i="2" s="1"/>
  <c r="AG4880" i="2"/>
  <c r="AH4880" i="2"/>
  <c r="AI4880" i="2"/>
  <c r="AJ4880" i="2"/>
  <c r="AF4881" i="2"/>
  <c r="AK4881" i="2" s="1"/>
  <c r="AL4881" i="2" s="1"/>
  <c r="AG4881" i="2"/>
  <c r="AH4881" i="2"/>
  <c r="AI4881" i="2"/>
  <c r="AJ4881" i="2"/>
  <c r="AF4882" i="2"/>
  <c r="AK4882" i="2"/>
  <c r="AG4882" i="2"/>
  <c r="AL4882" i="2" s="1"/>
  <c r="AH4882" i="2"/>
  <c r="AI4882" i="2"/>
  <c r="AJ4882" i="2"/>
  <c r="AF4883" i="2"/>
  <c r="AK4883" i="2"/>
  <c r="AG4883" i="2"/>
  <c r="AH4883" i="2"/>
  <c r="AL4883" i="2"/>
  <c r="AI4883" i="2"/>
  <c r="AJ4883" i="2"/>
  <c r="AF4884" i="2"/>
  <c r="AK4884" i="2" s="1"/>
  <c r="AG4884" i="2"/>
  <c r="AH4884" i="2"/>
  <c r="AI4884" i="2"/>
  <c r="AJ4884" i="2"/>
  <c r="AL4884" i="2" s="1"/>
  <c r="AF4885" i="2"/>
  <c r="AK4885" i="2"/>
  <c r="AG4885" i="2"/>
  <c r="AH4885" i="2"/>
  <c r="AI4885" i="2"/>
  <c r="AJ4885" i="2"/>
  <c r="AF4886" i="2"/>
  <c r="AK4886" i="2"/>
  <c r="AL4886" i="2" s="1"/>
  <c r="AG4886" i="2"/>
  <c r="AH4886" i="2"/>
  <c r="AI4886" i="2"/>
  <c r="AJ4886" i="2"/>
  <c r="AF4887" i="2"/>
  <c r="AK4887" i="2" s="1"/>
  <c r="AL4887" i="2" s="1"/>
  <c r="AG4887" i="2"/>
  <c r="AH4887" i="2"/>
  <c r="AI4887" i="2"/>
  <c r="AJ4887" i="2"/>
  <c r="AF4888" i="2"/>
  <c r="AK4888" i="2"/>
  <c r="AG4888" i="2"/>
  <c r="AL4888" i="2"/>
  <c r="AH4888" i="2"/>
  <c r="AI4888" i="2"/>
  <c r="AJ4888" i="2"/>
  <c r="AF4889" i="2"/>
  <c r="AK4889" i="2"/>
  <c r="AG4889" i="2"/>
  <c r="AL4889" i="2" s="1"/>
  <c r="AH4889" i="2"/>
  <c r="AI4889" i="2"/>
  <c r="AJ4889" i="2"/>
  <c r="AF4890" i="2"/>
  <c r="AK4890" i="2" s="1"/>
  <c r="AG4890" i="2"/>
  <c r="AH4890" i="2"/>
  <c r="AI4890" i="2"/>
  <c r="AJ4890" i="2"/>
  <c r="AL4890" i="2" s="1"/>
  <c r="AF4891" i="2"/>
  <c r="AK4891" i="2"/>
  <c r="AG4891" i="2"/>
  <c r="AH4891" i="2"/>
  <c r="AL4891" i="2" s="1"/>
  <c r="AI4891" i="2"/>
  <c r="AJ4891" i="2"/>
  <c r="AF4892" i="2"/>
  <c r="AK4892" i="2" s="1"/>
  <c r="AL4892" i="2" s="1"/>
  <c r="AG4892" i="2"/>
  <c r="AH4892" i="2"/>
  <c r="AI4892" i="2"/>
  <c r="AJ4892" i="2"/>
  <c r="AF4893" i="2"/>
  <c r="AK4893" i="2" s="1"/>
  <c r="AG4893" i="2"/>
  <c r="AL4893" i="2" s="1"/>
  <c r="AH4893" i="2"/>
  <c r="AI4893" i="2"/>
  <c r="AJ4893" i="2"/>
  <c r="AF4894" i="2"/>
  <c r="AK4894" i="2"/>
  <c r="AG4894" i="2"/>
  <c r="AH4894" i="2"/>
  <c r="AL4894" i="2" s="1"/>
  <c r="AI4894" i="2"/>
  <c r="AJ4894" i="2"/>
  <c r="AF4895" i="2"/>
  <c r="AK4895" i="2" s="1"/>
  <c r="AG4895" i="2"/>
  <c r="AH4895" i="2"/>
  <c r="AI4895" i="2"/>
  <c r="AJ4895" i="2"/>
  <c r="AL4895" i="2" s="1"/>
  <c r="AF4896" i="2"/>
  <c r="AK4896" i="2"/>
  <c r="AG4896" i="2"/>
  <c r="AH4896" i="2"/>
  <c r="AI4896" i="2"/>
  <c r="AJ4896" i="2"/>
  <c r="AF4897" i="2"/>
  <c r="AK4897" i="2"/>
  <c r="AL4897" i="2" s="1"/>
  <c r="AG4897" i="2"/>
  <c r="AH4897" i="2"/>
  <c r="AI4897" i="2"/>
  <c r="AJ4897" i="2"/>
  <c r="AF4898" i="2"/>
  <c r="AK4898" i="2" s="1"/>
  <c r="AG4898" i="2"/>
  <c r="AH4898" i="2"/>
  <c r="AI4898" i="2"/>
  <c r="AJ4898" i="2"/>
  <c r="AF4899" i="2"/>
  <c r="AK4899" i="2"/>
  <c r="AG4899" i="2"/>
  <c r="AH4899" i="2"/>
  <c r="AL4899" i="2" s="1"/>
  <c r="AI4899" i="2"/>
  <c r="AJ4899" i="2"/>
  <c r="AF4900" i="2"/>
  <c r="AK4900" i="2"/>
  <c r="AG4900" i="2"/>
  <c r="AH4900" i="2"/>
  <c r="AI4900" i="2"/>
  <c r="AL4900" i="2" s="1"/>
  <c r="AJ4900" i="2"/>
  <c r="AF4901" i="2"/>
  <c r="AK4901" i="2" s="1"/>
  <c r="AG4901" i="2"/>
  <c r="AL4901" i="2" s="1"/>
  <c r="AH4901" i="2"/>
  <c r="AI4901" i="2"/>
  <c r="AJ4901" i="2"/>
  <c r="AF4902" i="2"/>
  <c r="AK4902" i="2"/>
  <c r="AG4902" i="2"/>
  <c r="AL4902" i="2" s="1"/>
  <c r="AH4902" i="2"/>
  <c r="AI4902" i="2"/>
  <c r="AJ4902" i="2"/>
  <c r="AF4903" i="2"/>
  <c r="AK4903" i="2" s="1"/>
  <c r="AL4903" i="2" s="1"/>
  <c r="AG4903" i="2"/>
  <c r="AH4903" i="2"/>
  <c r="AI4903" i="2"/>
  <c r="AJ4903" i="2"/>
  <c r="AF4904" i="2"/>
  <c r="AK4904" i="2" s="1"/>
  <c r="AG4904" i="2"/>
  <c r="AL4904" i="2" s="1"/>
  <c r="AH4904" i="2"/>
  <c r="AI4904" i="2"/>
  <c r="AJ4904" i="2"/>
  <c r="AF4905" i="2"/>
  <c r="AK4905" i="2"/>
  <c r="AG4905" i="2"/>
  <c r="AH4905" i="2"/>
  <c r="AI4905" i="2"/>
  <c r="AJ4905" i="2"/>
  <c r="AF4906" i="2"/>
  <c r="AK4906" i="2" s="1"/>
  <c r="AL4906" i="2" s="1"/>
  <c r="AG4906" i="2"/>
  <c r="AH4906" i="2"/>
  <c r="AI4906" i="2"/>
  <c r="AJ4906" i="2"/>
  <c r="AF4907" i="2"/>
  <c r="AK4907" i="2" s="1"/>
  <c r="AG4907" i="2"/>
  <c r="AL4907" i="2" s="1"/>
  <c r="AH4907" i="2"/>
  <c r="AI4907" i="2"/>
  <c r="AJ4907" i="2"/>
  <c r="AF4908" i="2"/>
  <c r="AK4908" i="2"/>
  <c r="AL4908" i="2" s="1"/>
  <c r="AG4908" i="2"/>
  <c r="AH4908" i="2"/>
  <c r="AI4908" i="2"/>
  <c r="AJ4908" i="2"/>
  <c r="AF4909" i="2"/>
  <c r="AK4909" i="2"/>
  <c r="AG4909" i="2"/>
  <c r="AL4909" i="2" s="1"/>
  <c r="AH4909" i="2"/>
  <c r="AI4909" i="2"/>
  <c r="AJ4909" i="2"/>
  <c r="AF4910" i="2"/>
  <c r="AK4910" i="2"/>
  <c r="AG4910" i="2"/>
  <c r="AH4910" i="2"/>
  <c r="AI4910" i="2"/>
  <c r="AL4910" i="2" s="1"/>
  <c r="AJ4910" i="2"/>
  <c r="AF4911" i="2"/>
  <c r="AK4911" i="2" s="1"/>
  <c r="AL4911" i="2" s="1"/>
  <c r="AG4911" i="2"/>
  <c r="AH4911" i="2"/>
  <c r="AI4911" i="2"/>
  <c r="AJ4911" i="2"/>
  <c r="AF4912" i="2"/>
  <c r="AK4912" i="2" s="1"/>
  <c r="AL4912" i="2" s="1"/>
  <c r="AG4912" i="2"/>
  <c r="AH4912" i="2"/>
  <c r="AI4912" i="2"/>
  <c r="AJ4912" i="2"/>
  <c r="AF4913" i="2"/>
  <c r="AK4913" i="2" s="1"/>
  <c r="AG4913" i="2"/>
  <c r="AH4913" i="2"/>
  <c r="AI4913" i="2"/>
  <c r="AJ4913" i="2"/>
  <c r="AF4914" i="2"/>
  <c r="AK4914" i="2"/>
  <c r="AG4914" i="2"/>
  <c r="AH4914" i="2"/>
  <c r="AI4914" i="2"/>
  <c r="AL4914" i="2" s="1"/>
  <c r="AJ4914" i="2"/>
  <c r="AF4915" i="2"/>
  <c r="AK4915" i="2" s="1"/>
  <c r="AG4915" i="2"/>
  <c r="AH4915" i="2"/>
  <c r="AI4915" i="2"/>
  <c r="AJ4915" i="2"/>
  <c r="AF4916" i="2"/>
  <c r="AK4916" i="2"/>
  <c r="AG4916" i="2"/>
  <c r="AH4916" i="2"/>
  <c r="AI4916" i="2"/>
  <c r="AJ4916" i="2"/>
  <c r="AF4917" i="2"/>
  <c r="AK4917" i="2"/>
  <c r="AL4917" i="2" s="1"/>
  <c r="AG4917" i="2"/>
  <c r="AH4917" i="2"/>
  <c r="AI4917" i="2"/>
  <c r="AJ4917" i="2"/>
  <c r="AF4918" i="2"/>
  <c r="AK4918" i="2" s="1"/>
  <c r="AL4918" i="2" s="1"/>
  <c r="AG4918" i="2"/>
  <c r="AH4918" i="2"/>
  <c r="AI4918" i="2"/>
  <c r="AJ4918" i="2"/>
  <c r="AF4919" i="2"/>
  <c r="AK4919" i="2"/>
  <c r="AG4919" i="2"/>
  <c r="AH4919" i="2"/>
  <c r="AL4919" i="2"/>
  <c r="AI4919" i="2"/>
  <c r="AJ4919" i="2"/>
  <c r="AF4920" i="2"/>
  <c r="AK4920" i="2" s="1"/>
  <c r="AG4920" i="2"/>
  <c r="AH4920" i="2"/>
  <c r="AI4920" i="2"/>
  <c r="AJ4920" i="2"/>
  <c r="AF4921" i="2"/>
  <c r="AK4921" i="2"/>
  <c r="AG4921" i="2"/>
  <c r="AH4921" i="2"/>
  <c r="AI4921" i="2"/>
  <c r="AJ4921" i="2"/>
  <c r="AF4922" i="2"/>
  <c r="AK4922" i="2"/>
  <c r="AL4922" i="2" s="1"/>
  <c r="AG4922" i="2"/>
  <c r="AH4922" i="2"/>
  <c r="AI4922" i="2"/>
  <c r="AJ4922" i="2"/>
  <c r="AF4923" i="2"/>
  <c r="AK4923" i="2" s="1"/>
  <c r="AG4923" i="2"/>
  <c r="AH4923" i="2"/>
  <c r="AI4923" i="2"/>
  <c r="AJ4923" i="2"/>
  <c r="AF4924" i="2"/>
  <c r="AK4924" i="2"/>
  <c r="AG4924" i="2"/>
  <c r="AH4924" i="2"/>
  <c r="AL4924" i="2"/>
  <c r="AI4924" i="2"/>
  <c r="AJ4924" i="2"/>
  <c r="AF4925" i="2"/>
  <c r="AK4925" i="2" s="1"/>
  <c r="AG4925" i="2"/>
  <c r="AH4925" i="2"/>
  <c r="AI4925" i="2"/>
  <c r="AJ4925" i="2"/>
  <c r="AL4925" i="2" s="1"/>
  <c r="AF4926" i="2"/>
  <c r="AK4926" i="2"/>
  <c r="AG4926" i="2"/>
  <c r="AH4926" i="2"/>
  <c r="AI4926" i="2"/>
  <c r="AJ4926" i="2"/>
  <c r="AF4927" i="2"/>
  <c r="AK4927" i="2"/>
  <c r="AG4927" i="2"/>
  <c r="AL4927" i="2" s="1"/>
  <c r="AH4927" i="2"/>
  <c r="AI4927" i="2"/>
  <c r="AJ4927" i="2"/>
  <c r="AF4928" i="2"/>
  <c r="AK4928" i="2" s="1"/>
  <c r="AL4928" i="2" s="1"/>
  <c r="AG4928" i="2"/>
  <c r="AH4928" i="2"/>
  <c r="AI4928" i="2"/>
  <c r="AJ4928" i="2"/>
  <c r="AF4929" i="2"/>
  <c r="AK4929" i="2"/>
  <c r="AG4929" i="2"/>
  <c r="AH4929" i="2"/>
  <c r="AL4929" i="2" s="1"/>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c r="AL4933" i="2" s="1"/>
  <c r="AG4933" i="2"/>
  <c r="AH4933" i="2"/>
  <c r="AI4933" i="2"/>
  <c r="AJ4933" i="2"/>
  <c r="AF4934" i="2"/>
  <c r="AK4934" i="2" s="1"/>
  <c r="AL4934" i="2" s="1"/>
  <c r="AG4934" i="2"/>
  <c r="AH4934" i="2"/>
  <c r="AI4934" i="2"/>
  <c r="AJ4934" i="2"/>
  <c r="AF4935" i="2"/>
  <c r="AK4935" i="2"/>
  <c r="AG4935" i="2"/>
  <c r="AH4935" i="2"/>
  <c r="AI4935" i="2"/>
  <c r="AL4935" i="2" s="1"/>
  <c r="AJ4935" i="2"/>
  <c r="AF4936" i="2"/>
  <c r="AK4936" i="2" s="1"/>
  <c r="AL4936" i="2" s="1"/>
  <c r="AG4936" i="2"/>
  <c r="AH4936" i="2"/>
  <c r="AI4936" i="2"/>
  <c r="AJ4936" i="2"/>
  <c r="AF4937" i="2"/>
  <c r="AK4937" i="2" s="1"/>
  <c r="AL4937" i="2" s="1"/>
  <c r="AG4937" i="2"/>
  <c r="AH4937" i="2"/>
  <c r="AI4937" i="2"/>
  <c r="AJ4937" i="2"/>
  <c r="AF4938" i="2"/>
  <c r="AK4938" i="2" s="1"/>
  <c r="AG4938" i="2"/>
  <c r="AH4938" i="2"/>
  <c r="AI4938" i="2"/>
  <c r="AJ4938" i="2"/>
  <c r="AF4939" i="2"/>
  <c r="AK4939" i="2"/>
  <c r="AG4939" i="2"/>
  <c r="AH4939" i="2"/>
  <c r="AI4939" i="2"/>
  <c r="AL4939" i="2" s="1"/>
  <c r="AJ4939" i="2"/>
  <c r="AF4940" i="2"/>
  <c r="AK4940" i="2" s="1"/>
  <c r="AG4940" i="2"/>
  <c r="AH4940" i="2"/>
  <c r="AI4940" i="2"/>
  <c r="AJ4940" i="2"/>
  <c r="AF4941" i="2"/>
  <c r="AK4941" i="2"/>
  <c r="AG4941" i="2"/>
  <c r="AL4941" i="2" s="1"/>
  <c r="AH4941" i="2"/>
  <c r="AI4941" i="2"/>
  <c r="AJ4941" i="2"/>
  <c r="AF4942" i="2"/>
  <c r="AK4942" i="2" s="1"/>
  <c r="AG4942" i="2"/>
  <c r="AH4942" i="2"/>
  <c r="AI4942" i="2"/>
  <c r="AJ4942" i="2"/>
  <c r="AF4943" i="2"/>
  <c r="AK4943" i="2"/>
  <c r="AL4943" i="2" s="1"/>
  <c r="AG4943" i="2"/>
  <c r="AH4943" i="2"/>
  <c r="AI4943" i="2"/>
  <c r="AJ4943" i="2"/>
  <c r="AF4944" i="2"/>
  <c r="AK4944" i="2" s="1"/>
  <c r="AL4944" i="2" s="1"/>
  <c r="AG4944" i="2"/>
  <c r="AH4944" i="2"/>
  <c r="AI4944" i="2"/>
  <c r="AJ4944" i="2"/>
  <c r="AF4945" i="2"/>
  <c r="AK4945" i="2" s="1"/>
  <c r="AG4945" i="2"/>
  <c r="AH4945" i="2"/>
  <c r="AI4945" i="2"/>
  <c r="AJ4945" i="2"/>
  <c r="AF4946" i="2"/>
  <c r="AK4946" i="2" s="1"/>
  <c r="AG4946" i="2"/>
  <c r="AH4946" i="2"/>
  <c r="AI4946" i="2"/>
  <c r="AJ4946" i="2"/>
  <c r="AF4947" i="2"/>
  <c r="AK4947" i="2"/>
  <c r="AL4947" i="2" s="1"/>
  <c r="AG4947" i="2"/>
  <c r="AH4947" i="2"/>
  <c r="AI4947" i="2"/>
  <c r="AJ4947" i="2"/>
  <c r="AF4948" i="2"/>
  <c r="AK4948" i="2" s="1"/>
  <c r="AL4948" i="2" s="1"/>
  <c r="AG4948" i="2"/>
  <c r="AH4948" i="2"/>
  <c r="AI4948" i="2"/>
  <c r="AJ4948" i="2"/>
  <c r="AF4949" i="2"/>
  <c r="AK4949" i="2" s="1"/>
  <c r="AG4949" i="2"/>
  <c r="AH4949" i="2"/>
  <c r="AI4949" i="2"/>
  <c r="AJ4949" i="2"/>
  <c r="AF4950" i="2"/>
  <c r="AK4950" i="2"/>
  <c r="AG4950" i="2"/>
  <c r="AL4950" i="2" s="1"/>
  <c r="AH4950" i="2"/>
  <c r="AI4950" i="2"/>
  <c r="AJ4950" i="2"/>
  <c r="AF4951" i="2"/>
  <c r="AK4951" i="2" s="1"/>
  <c r="AG4951" i="2"/>
  <c r="AH4951" i="2"/>
  <c r="AI4951" i="2"/>
  <c r="AJ4951" i="2"/>
  <c r="AF4952" i="2"/>
  <c r="AG4952" i="2"/>
  <c r="AH4952" i="2"/>
  <c r="AI4952" i="2"/>
  <c r="AJ4952" i="2"/>
  <c r="AK4952" i="2"/>
  <c r="AF4953" i="2"/>
  <c r="AK4953" i="2"/>
  <c r="AL4953" i="2" s="1"/>
  <c r="AG4953" i="2"/>
  <c r="AH4953" i="2"/>
  <c r="AI4953" i="2"/>
  <c r="AJ4953" i="2"/>
  <c r="AF4954" i="2"/>
  <c r="AK4954" i="2" s="1"/>
  <c r="AG4954" i="2"/>
  <c r="AH4954" i="2"/>
  <c r="AL4954" i="2" s="1"/>
  <c r="AI4954" i="2"/>
  <c r="AJ4954" i="2"/>
  <c r="AF4955" i="2"/>
  <c r="AK4955" i="2"/>
  <c r="AG4955" i="2"/>
  <c r="AH4955" i="2"/>
  <c r="AI4955" i="2"/>
  <c r="AL4955" i="2" s="1"/>
  <c r="AJ4955" i="2"/>
  <c r="AF4956" i="2"/>
  <c r="AK4956" i="2" s="1"/>
  <c r="AL4956" i="2" s="1"/>
  <c r="AG4956" i="2"/>
  <c r="AH4956" i="2"/>
  <c r="AI4956" i="2"/>
  <c r="AJ4956" i="2"/>
  <c r="AF4957" i="2"/>
  <c r="AK4957" i="2" s="1"/>
  <c r="AG4957" i="2"/>
  <c r="AL4957" i="2" s="1"/>
  <c r="AH4957" i="2"/>
  <c r="AI4957" i="2"/>
  <c r="AJ4957" i="2"/>
  <c r="AF4958" i="2"/>
  <c r="AK4958" i="2"/>
  <c r="AL4958" i="2" s="1"/>
  <c r="AG4958" i="2"/>
  <c r="AH4958" i="2"/>
  <c r="AI4958" i="2"/>
  <c r="AJ4958" i="2"/>
  <c r="AF4959" i="2"/>
  <c r="AK4959" i="2" s="1"/>
  <c r="AG4959" i="2"/>
  <c r="AH4959" i="2"/>
  <c r="AI4959" i="2"/>
  <c r="AJ4959" i="2"/>
  <c r="AF4960" i="2"/>
  <c r="AK4960" i="2" s="1"/>
  <c r="AG4960" i="2"/>
  <c r="AH4960" i="2"/>
  <c r="AI4960" i="2"/>
  <c r="AJ4960" i="2"/>
  <c r="AL4960" i="2" s="1"/>
  <c r="AF4961" i="2"/>
  <c r="AK4961" i="2"/>
  <c r="AG4961" i="2"/>
  <c r="AH4961" i="2"/>
  <c r="AI4961" i="2"/>
  <c r="AJ4961" i="2"/>
  <c r="AF4962" i="2"/>
  <c r="AK4962" i="2"/>
  <c r="AG4962" i="2"/>
  <c r="AH4962" i="2"/>
  <c r="AL4962" i="2" s="1"/>
  <c r="AI4962" i="2"/>
  <c r="AJ4962" i="2"/>
  <c r="AF4963" i="2"/>
  <c r="AK4963" i="2" s="1"/>
  <c r="AG4963" i="2"/>
  <c r="AH4963" i="2"/>
  <c r="AI4963" i="2"/>
  <c r="AJ4963" i="2"/>
  <c r="AF4964" i="2"/>
  <c r="AK4964" i="2" s="1"/>
  <c r="AG4964" i="2"/>
  <c r="AH4964" i="2"/>
  <c r="AI4964" i="2"/>
  <c r="AJ4964" i="2"/>
  <c r="AF4965" i="2"/>
  <c r="AK4965" i="2" s="1"/>
  <c r="AG4965" i="2"/>
  <c r="AL4965" i="2" s="1"/>
  <c r="AH4965" i="2"/>
  <c r="AI4965" i="2"/>
  <c r="AJ4965" i="2"/>
  <c r="AF4966" i="2"/>
  <c r="AK4966" i="2" s="1"/>
  <c r="AL4966" i="2" s="1"/>
  <c r="AG4966" i="2"/>
  <c r="AH4966" i="2"/>
  <c r="AI4966" i="2"/>
  <c r="AJ4966" i="2"/>
  <c r="AF4967" i="2"/>
  <c r="AK4967" i="2" s="1"/>
  <c r="AL4967" i="2" s="1"/>
  <c r="AG4967" i="2"/>
  <c r="AH4967" i="2"/>
  <c r="AI4967" i="2"/>
  <c r="AJ4967" i="2"/>
  <c r="AF4968" i="2"/>
  <c r="AK4968" i="2"/>
  <c r="AL4968" i="2" s="1"/>
  <c r="AG4968" i="2"/>
  <c r="AH4968" i="2"/>
  <c r="AI4968" i="2"/>
  <c r="AJ4968" i="2"/>
  <c r="AF4969" i="2"/>
  <c r="AK4969" i="2" s="1"/>
  <c r="AG4969" i="2"/>
  <c r="AL4969" i="2" s="1"/>
  <c r="AH4969" i="2"/>
  <c r="AI4969" i="2"/>
  <c r="AJ4969" i="2"/>
  <c r="AF4970" i="2"/>
  <c r="AK4970" i="2"/>
  <c r="AG4970" i="2"/>
  <c r="AL4970" i="2" s="1"/>
  <c r="AH4970" i="2"/>
  <c r="AI4970" i="2"/>
  <c r="AJ4970" i="2"/>
  <c r="AF4971" i="2"/>
  <c r="AK4971" i="2" s="1"/>
  <c r="AG4971" i="2"/>
  <c r="AL4971" i="2" s="1"/>
  <c r="AH4971" i="2"/>
  <c r="AI4971" i="2"/>
  <c r="AJ4971" i="2"/>
  <c r="AF4972" i="2"/>
  <c r="AK4972" i="2" s="1"/>
  <c r="AG4972" i="2"/>
  <c r="AL4972" i="2" s="1"/>
  <c r="AH4972" i="2"/>
  <c r="AI4972" i="2"/>
  <c r="AJ4972" i="2"/>
  <c r="AF4973" i="2"/>
  <c r="AK4973" i="2"/>
  <c r="AG4973" i="2"/>
  <c r="AH4973" i="2"/>
  <c r="AI4973" i="2"/>
  <c r="AJ4973" i="2"/>
  <c r="AF4974" i="2"/>
  <c r="AK4974" i="2"/>
  <c r="AG4974" i="2"/>
  <c r="AH4974" i="2"/>
  <c r="AI4974" i="2"/>
  <c r="AJ4974" i="2"/>
  <c r="AF4975" i="2"/>
  <c r="AK4975" i="2" s="1"/>
  <c r="AL4975" i="2" s="1"/>
  <c r="AG4975" i="2"/>
  <c r="AH4975" i="2"/>
  <c r="AI4975" i="2"/>
  <c r="AJ4975" i="2"/>
  <c r="AF4976" i="2"/>
  <c r="AK4976" i="2"/>
  <c r="AG4976" i="2"/>
  <c r="AH4976" i="2"/>
  <c r="AI4976" i="2"/>
  <c r="AL4976" i="2" s="1"/>
  <c r="AJ4976" i="2"/>
  <c r="AF4977" i="2"/>
  <c r="AK4977" i="2" s="1"/>
  <c r="AG4977" i="2"/>
  <c r="AH4977" i="2"/>
  <c r="AI4977" i="2"/>
  <c r="AJ4977" i="2"/>
  <c r="AF4978" i="2"/>
  <c r="AK4978" i="2"/>
  <c r="AG4978" i="2"/>
  <c r="AH4978" i="2"/>
  <c r="AL4978" i="2" s="1"/>
  <c r="AI4978" i="2"/>
  <c r="AJ4978" i="2"/>
  <c r="AF4979" i="2"/>
  <c r="AK4979" i="2" s="1"/>
  <c r="AL4979" i="2" s="1"/>
  <c r="AG4979" i="2"/>
  <c r="AH4979" i="2"/>
  <c r="AI4979" i="2"/>
  <c r="AJ4979" i="2"/>
  <c r="AF4980" i="2"/>
  <c r="AK4980" i="2" s="1"/>
  <c r="AG4980" i="2"/>
  <c r="AH4980" i="2"/>
  <c r="AI4980" i="2"/>
  <c r="AJ4980" i="2"/>
  <c r="AF4981" i="2"/>
  <c r="AK4981" i="2"/>
  <c r="AG4981" i="2"/>
  <c r="AH4981" i="2"/>
  <c r="AI4981" i="2"/>
  <c r="AL4981" i="2" s="1"/>
  <c r="AJ4981" i="2"/>
  <c r="AF4982" i="2"/>
  <c r="AK4982" i="2" s="1"/>
  <c r="AG4982" i="2"/>
  <c r="AH4982" i="2"/>
  <c r="AI4982" i="2"/>
  <c r="AJ4982" i="2"/>
  <c r="AF4983" i="2"/>
  <c r="AK4983" i="2"/>
  <c r="AG4983" i="2"/>
  <c r="AL4983" i="2" s="1"/>
  <c r="AH4983" i="2"/>
  <c r="AI4983" i="2"/>
  <c r="AJ4983" i="2"/>
  <c r="AF4984" i="2"/>
  <c r="AK4984" i="2" s="1"/>
  <c r="AG4984" i="2"/>
  <c r="AH4984" i="2"/>
  <c r="AI4984" i="2"/>
  <c r="AJ4984" i="2"/>
  <c r="AF4985" i="2"/>
  <c r="AK4985" i="2"/>
  <c r="AL4985" i="2" s="1"/>
  <c r="AG4985" i="2"/>
  <c r="AH4985" i="2"/>
  <c r="AI4985" i="2"/>
  <c r="AJ4985" i="2"/>
  <c r="AF4986" i="2"/>
  <c r="AK4986" i="2" s="1"/>
  <c r="AG4986" i="2"/>
  <c r="AH4986" i="2"/>
  <c r="AL4986" i="2" s="1"/>
  <c r="AI4986" i="2"/>
  <c r="AJ4986" i="2"/>
  <c r="AF4987" i="2"/>
  <c r="AK4987" i="2"/>
  <c r="AG4987" i="2"/>
  <c r="AH4987" i="2"/>
  <c r="AI4987" i="2"/>
  <c r="AL4987" i="2" s="1"/>
  <c r="AJ4987" i="2"/>
  <c r="AF4988" i="2"/>
  <c r="AK4988" i="2" s="1"/>
  <c r="AG4988" i="2"/>
  <c r="AL4988" i="2" s="1"/>
  <c r="AH4988" i="2"/>
  <c r="AI4988" i="2"/>
  <c r="AJ4988" i="2"/>
  <c r="AF4989" i="2"/>
  <c r="AK4989" i="2" s="1"/>
  <c r="AL4989" i="2" s="1"/>
  <c r="AG4989" i="2"/>
  <c r="AH4989" i="2"/>
  <c r="AI4989" i="2"/>
  <c r="AJ4989" i="2"/>
  <c r="AF4990" i="2"/>
  <c r="AK4990" i="2" s="1"/>
  <c r="AG4990" i="2"/>
  <c r="AH4990" i="2"/>
  <c r="AI4990" i="2"/>
  <c r="AJ4990" i="2"/>
  <c r="AF4991" i="2"/>
  <c r="AK4991" i="2"/>
  <c r="AG4991" i="2"/>
  <c r="AL4991" i="2" s="1"/>
  <c r="AH4991" i="2"/>
  <c r="AI4991" i="2"/>
  <c r="AJ4991" i="2"/>
  <c r="AF4992" i="2"/>
  <c r="AK4992" i="2" s="1"/>
  <c r="AG4992" i="2"/>
  <c r="AL4992" i="2" s="1"/>
  <c r="AH4992" i="2"/>
  <c r="AI4992" i="2"/>
  <c r="AJ4992" i="2"/>
  <c r="AF4993" i="2"/>
  <c r="AK4993" i="2"/>
  <c r="AG4993" i="2"/>
  <c r="AL4993" i="2" s="1"/>
  <c r="AH4993" i="2"/>
  <c r="AI4993" i="2"/>
  <c r="AJ4993" i="2"/>
  <c r="AF4994" i="2"/>
  <c r="AK4994" i="2" s="1"/>
  <c r="AG4994" i="2"/>
  <c r="AH4994" i="2"/>
  <c r="AI4994" i="2"/>
  <c r="AJ4994" i="2"/>
  <c r="AL4994" i="2" s="1"/>
  <c r="AF4995" i="2"/>
  <c r="AK4995" i="2"/>
  <c r="AG4995" i="2"/>
  <c r="AH4995" i="2"/>
  <c r="AL4995" i="2" s="1"/>
  <c r="AI4995" i="2"/>
  <c r="AJ4995" i="2"/>
  <c r="AF4996" i="2"/>
  <c r="AK4996" i="2" s="1"/>
  <c r="AL4996" i="2" s="1"/>
  <c r="AG4996" i="2"/>
  <c r="AH4996" i="2"/>
  <c r="AI4996" i="2"/>
  <c r="AJ4996" i="2"/>
  <c r="AF4997" i="2"/>
  <c r="AK4997" i="2"/>
  <c r="AL4997" i="2" s="1"/>
  <c r="AG4997" i="2"/>
  <c r="AH4997" i="2"/>
  <c r="AI4997" i="2"/>
  <c r="AJ4997" i="2"/>
  <c r="AF4998" i="2"/>
  <c r="AK4998" i="2" s="1"/>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07" i="2"/>
  <c r="AL3251" i="2"/>
  <c r="AL3544" i="2"/>
  <c r="AL3315" i="2"/>
  <c r="AL3769" i="2"/>
  <c r="AL3754" i="2"/>
  <c r="AL3737" i="2"/>
  <c r="AL3722" i="2"/>
  <c r="AL3705"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56" i="2"/>
  <c r="AL3650" i="2"/>
  <c r="AL3643" i="2"/>
  <c r="AL3624" i="2"/>
  <c r="AL3618" i="2"/>
  <c r="AL3605" i="2"/>
  <c r="AL3592"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87" i="2"/>
  <c r="AL79" i="2"/>
  <c r="AL71" i="2"/>
  <c r="AL63" i="2"/>
  <c r="AL55" i="2"/>
  <c r="AL89" i="2"/>
  <c r="AL81" i="2"/>
  <c r="AL73" i="2"/>
  <c r="AL65" i="2"/>
  <c r="AL57" i="2"/>
  <c r="AL49" i="2"/>
  <c r="AL75" i="2"/>
  <c r="AL67" i="2"/>
  <c r="AL59" i="2"/>
  <c r="AL51" i="2"/>
  <c r="AM16" i="2"/>
  <c r="AM14"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12" i="2"/>
  <c r="AL3996" i="2"/>
  <c r="AL3980" i="2"/>
  <c r="AL4353" i="2"/>
  <c r="AL4339" i="2"/>
  <c r="AL4312" i="2"/>
  <c r="AL4201" i="2"/>
  <c r="AL4144" i="2"/>
  <c r="AL4137" i="2"/>
  <c r="AL4080" i="2"/>
  <c r="AL4067" i="2"/>
  <c r="AL4060" i="2"/>
  <c r="AL4049" i="2"/>
  <c r="AL4028" i="2"/>
  <c r="AL4417" i="2"/>
  <c r="AL4392" i="2"/>
  <c r="AL4357" i="2"/>
  <c r="AL4305" i="2"/>
  <c r="AL4299" i="2"/>
  <c r="AL4284" i="2"/>
  <c r="AL4273" i="2"/>
  <c r="AL4245" i="2"/>
  <c r="AL4232" i="2"/>
  <c r="AL4223" i="2"/>
  <c r="AL4188" i="2"/>
  <c r="AL4181" i="2"/>
  <c r="AL4159" i="2"/>
  <c r="AL4104" i="2"/>
  <c r="AL4095" i="2"/>
  <c r="AL4016" i="2"/>
  <c r="AL4000" i="2"/>
  <c r="AL3984" i="2"/>
  <c r="AL3968" i="2"/>
  <c r="AL4369" i="2"/>
  <c r="AL4355" i="2"/>
  <c r="AL4247" i="2"/>
  <c r="AL4243" i="2"/>
  <c r="AL4185" i="2"/>
  <c r="AL4183" i="2"/>
  <c r="AL4179" i="2"/>
  <c r="AL4121" i="2"/>
  <c r="AL4115" i="2"/>
  <c r="AL4469" i="2"/>
  <c r="AL4401" i="2"/>
  <c r="AL4363" i="2"/>
  <c r="AL4336" i="2"/>
  <c r="AL4307" i="2"/>
  <c r="AL4281" i="2"/>
  <c r="AL4279" i="2"/>
  <c r="AL4275" i="2"/>
  <c r="AL4229" i="2"/>
  <c r="AL4216" i="2"/>
  <c r="AL4209" i="2"/>
  <c r="AL4207" i="2"/>
  <c r="AL4203" i="2"/>
  <c r="AL4172" i="2"/>
  <c r="AL4152" i="2"/>
  <c r="AL4139" i="2"/>
  <c r="AL4108" i="2"/>
  <c r="AL4088" i="2"/>
  <c r="AL4020" i="2"/>
  <c r="AL4004" i="2"/>
  <c r="AL3972" i="2"/>
  <c r="AL3930" i="2"/>
  <c r="AL3926" i="2"/>
  <c r="AL3893" i="2"/>
  <c r="AL3842" i="2"/>
  <c r="AL3829" i="2"/>
  <c r="AL3822" i="2"/>
  <c r="AL3820" i="2"/>
  <c r="AL3788" i="2"/>
  <c r="AL3770" i="2"/>
  <c r="AL3759" i="2"/>
  <c r="AL3698" i="2"/>
  <c r="AL3658" i="2"/>
  <c r="AL3471" i="2"/>
  <c r="AL3450" i="2"/>
  <c r="AL3298" i="2"/>
  <c r="AL3942" i="2"/>
  <c r="AL3890" i="2"/>
  <c r="AL3767" i="2"/>
  <c r="AL3570" i="2"/>
  <c r="AL3511" i="2"/>
  <c r="AL4058" i="2"/>
  <c r="AL4042" i="2"/>
  <c r="AL4026" i="2"/>
  <c r="AL3954" i="2"/>
  <c r="AL3909" i="2"/>
  <c r="AL3894" i="2"/>
  <c r="AL3857" i="2"/>
  <c r="AL3850" i="2"/>
  <c r="AL3837" i="2"/>
  <c r="AL3828" i="2"/>
  <c r="AL3781" i="2"/>
  <c r="AL3731" i="2"/>
  <c r="AL3707" i="2"/>
  <c r="AL3704" i="2"/>
  <c r="AL3645" i="2"/>
  <c r="AL3567" i="2"/>
  <c r="AL3263" i="2"/>
  <c r="AL3194" i="2"/>
  <c r="AL3962" i="2"/>
  <c r="AL3921" i="2"/>
  <c r="AL3917" i="2"/>
  <c r="AL3898" i="2"/>
  <c r="AL3861" i="2"/>
  <c r="AL3852" i="2"/>
  <c r="AL3817" i="2"/>
  <c r="AL3797" i="2"/>
  <c r="AL3746" i="2"/>
  <c r="AL3724" i="2"/>
  <c r="AL3708" i="2"/>
  <c r="AL3663" i="2"/>
  <c r="AL3621" i="2"/>
  <c r="AL3599" i="2"/>
  <c r="AL4054" i="2"/>
  <c r="AL4038" i="2"/>
  <c r="AL4022" i="2"/>
  <c r="AL4018" i="2"/>
  <c r="AL4014" i="2"/>
  <c r="AL4010" i="2"/>
  <c r="AL4006" i="2"/>
  <c r="AL4002"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858" i="2"/>
  <c r="AL3845" i="2"/>
  <c r="AL3838" i="2"/>
  <c r="AL3801" i="2"/>
  <c r="AL3784" i="2"/>
  <c r="AL3718" i="2"/>
  <c r="AL3565" i="2"/>
  <c r="AL3362" i="2"/>
  <c r="AL3296" i="2"/>
  <c r="AL3243" i="2"/>
  <c r="AL3199" i="2"/>
  <c r="AL3175" i="2"/>
  <c r="AL4050" i="2"/>
  <c r="AL4034" i="2"/>
  <c r="AL3945" i="2"/>
  <c r="AL3916" i="2"/>
  <c r="AL3860" i="2"/>
  <c r="AL3796" i="2"/>
  <c r="AL3792" i="2"/>
  <c r="AL3780"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66" i="2"/>
  <c r="AL56" i="2"/>
  <c r="AL5005" i="2"/>
  <c r="AL5049" i="2"/>
  <c r="AL5066" i="2"/>
  <c r="AL5132" i="2"/>
  <c r="AL5158" i="2"/>
  <c r="AL5190" i="2"/>
  <c r="AL4885" i="2"/>
  <c r="AL4872" i="2"/>
  <c r="AL4748" i="2"/>
  <c r="AL4711" i="2"/>
  <c r="AL4434" i="2"/>
  <c r="AL4720" i="2"/>
  <c r="AL4558" i="2"/>
  <c r="AL4447" i="2"/>
  <c r="AL4583" i="2"/>
  <c r="AL4272" i="2"/>
  <c r="AL4215" i="2"/>
  <c r="AL4169" i="2"/>
  <c r="AL4163" i="2"/>
  <c r="AL4157" i="2"/>
  <c r="AL4086" i="2"/>
  <c r="AL3935" i="2"/>
  <c r="AL3897" i="2"/>
  <c r="AL3803" i="2"/>
  <c r="AL4221" i="2"/>
  <c r="AL4151" i="2"/>
  <c r="AL4135" i="2"/>
  <c r="AL3862" i="2"/>
  <c r="AL4126" i="2"/>
  <c r="AL4624" i="2"/>
  <c r="AL4455" i="2"/>
  <c r="AL4335" i="2"/>
  <c r="AL4326" i="2"/>
  <c r="AL4658" i="2"/>
  <c r="AL4436" i="2"/>
  <c r="AL4226" i="2"/>
  <c r="AL4219" i="2"/>
  <c r="AL4193" i="2"/>
  <c r="AL4158" i="2"/>
  <c r="AL4130" i="2"/>
  <c r="AL3812"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13" i="2"/>
  <c r="AL3964" i="2"/>
  <c r="AL3960" i="2"/>
  <c r="AL3943" i="2"/>
  <c r="AL3813" i="2"/>
  <c r="AL3720" i="2"/>
  <c r="AL2775" i="2"/>
  <c r="AL2711" i="2"/>
  <c r="AL2565" i="2"/>
  <c r="AL3576" i="2"/>
  <c r="AL3840" i="2"/>
  <c r="AL3818" i="2"/>
  <c r="AL3424" i="2"/>
  <c r="AL3407" i="2"/>
  <c r="AL2979" i="2"/>
  <c r="AL2743" i="2"/>
  <c r="AL2615" i="2"/>
  <c r="AL2487" i="2"/>
  <c r="AL4041" i="2"/>
  <c r="AL3992" i="2"/>
  <c r="AL3922" i="2"/>
  <c r="AL3714" i="2"/>
  <c r="AL3597" i="2"/>
  <c r="AL3418" i="2"/>
  <c r="AL3290" i="2"/>
  <c r="AL2583" i="2"/>
  <c r="AL2293" i="2"/>
  <c r="AL3958" i="2"/>
  <c r="AL3875"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68" i="2"/>
  <c r="AL64" i="2"/>
  <c r="AL5243" i="2"/>
  <c r="AL173" i="2"/>
  <c r="AL5018" i="2"/>
  <c r="AL5021" i="2"/>
  <c r="AL5223" i="2"/>
  <c r="AL4752" i="2"/>
  <c r="AL4324" i="2"/>
  <c r="AL4278" i="2"/>
  <c r="AL4225" i="2"/>
  <c r="AL4141" i="2"/>
  <c r="AL4813" i="2"/>
  <c r="AL4599" i="2"/>
  <c r="AL4459" i="2"/>
  <c r="AL4433" i="2"/>
  <c r="AL4303" i="2"/>
  <c r="AL3843" i="2"/>
  <c r="AL4654" i="2"/>
  <c r="AL4528" i="2"/>
  <c r="AL4493" i="2"/>
  <c r="AL4466" i="2"/>
  <c r="AL4738" i="2"/>
  <c r="AL4734" i="2"/>
  <c r="AL4724" i="2"/>
  <c r="AL4644" i="2"/>
  <c r="AL4581" i="2"/>
  <c r="AL4494" i="2"/>
  <c r="AL4478" i="2"/>
  <c r="AL4454" i="2"/>
  <c r="AL4431" i="2"/>
  <c r="AL4345" i="2"/>
  <c r="AL4338" i="2"/>
  <c r="AL4007" i="2"/>
  <c r="AL4798" i="2"/>
  <c r="AL4736" i="2"/>
  <c r="AL4684" i="2"/>
  <c r="AL4633" i="2"/>
  <c r="AL4571" i="2"/>
  <c r="AL4549" i="2"/>
  <c r="AL4461" i="2"/>
  <c r="AL4439" i="2"/>
  <c r="AL4365" i="2"/>
  <c r="AL4330" i="2"/>
  <c r="AL4262" i="2"/>
  <c r="AL4166" i="2"/>
  <c r="AL4142" i="2"/>
  <c r="AL3824" i="2"/>
  <c r="AL3659" i="2"/>
  <c r="AL4359" i="2"/>
  <c r="AL4342" i="2"/>
  <c r="AL4241" i="2"/>
  <c r="AL4238" i="2"/>
  <c r="AL4094" i="2"/>
  <c r="AL4017" i="2"/>
  <c r="AL3855" i="2"/>
  <c r="AL3808" i="2"/>
  <c r="AL4428" i="2"/>
  <c r="AL4029" i="2"/>
  <c r="AL4343" i="2"/>
  <c r="AL4261" i="2"/>
  <c r="AL4091" i="2"/>
  <c r="AL4044" i="2"/>
  <c r="AL4033" i="2"/>
  <c r="AL3991" i="2"/>
  <c r="AL3904" i="2"/>
  <c r="AL3869" i="2"/>
  <c r="AL4327" i="2"/>
  <c r="AL4202" i="2"/>
  <c r="AL4106"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2" i="2"/>
  <c r="AL3765" i="2"/>
  <c r="AL3747" i="2"/>
  <c r="AL3711" i="2"/>
  <c r="AL3488" i="2"/>
  <c r="AL3322" i="2"/>
  <c r="AL4180" i="2"/>
  <c r="AL4176" i="2"/>
  <c r="AL4148" i="2"/>
  <c r="AL4113" i="2"/>
  <c r="AL4047" i="2"/>
  <c r="AL4011"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903" i="2"/>
  <c r="AL3807" i="2"/>
  <c r="AL3748" i="2"/>
  <c r="AL3745" i="2"/>
  <c r="AL3703" i="2"/>
  <c r="AL3690" i="2"/>
  <c r="AL3578" i="2"/>
  <c r="AL3186" i="2"/>
  <c r="AL4297" i="2"/>
  <c r="AL4286" i="2"/>
  <c r="AL4227" i="2"/>
  <c r="AL4174" i="2"/>
  <c r="AL4138" i="2"/>
  <c r="AL4071" i="2"/>
  <c r="AL4001" i="2"/>
  <c r="AL3977" i="2"/>
  <c r="AL3965" i="2"/>
  <c r="AL3896" i="2"/>
  <c r="AL3873"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38" i="2"/>
  <c r="AL4615" i="2"/>
  <c r="AL4520" i="2"/>
  <c r="AL4482" i="2"/>
  <c r="AL4398" i="2"/>
  <c r="AL4388" i="2"/>
  <c r="AL4716" i="2"/>
  <c r="AL4601" i="2"/>
  <c r="AL4396" i="2"/>
  <c r="AL4974" i="2"/>
  <c r="AL4952" i="2"/>
  <c r="AL4668" i="2"/>
  <c r="AL4611" i="2"/>
  <c r="AL4591" i="2"/>
  <c r="AL4332" i="2"/>
  <c r="AL4750" i="2"/>
  <c r="AL4636" i="2"/>
  <c r="AL4617" i="2"/>
  <c r="AL4518" i="2"/>
  <c r="AL4837" i="2"/>
  <c r="AL4706" i="2"/>
  <c r="AL4629" i="2"/>
  <c r="AL4487" i="2"/>
  <c r="AL4453" i="2"/>
  <c r="AL4334" i="2"/>
  <c r="AL4233" i="2"/>
  <c r="AL4875" i="2"/>
  <c r="AL4802" i="2"/>
  <c r="AL4516" i="2"/>
  <c r="AL4503" i="2"/>
  <c r="AL4445" i="2"/>
  <c r="AL4346" i="2"/>
  <c r="AL4443" i="2"/>
  <c r="AL4253" i="2"/>
  <c r="AL4171" i="2"/>
  <c r="AL4154" i="2"/>
  <c r="AL4132" i="2"/>
  <c r="AL4093" i="2"/>
  <c r="AL3985" i="2"/>
  <c r="AL3975" i="2"/>
  <c r="AL3802" i="2"/>
  <c r="AL3524" i="2"/>
  <c r="AL3478" i="2"/>
  <c r="AL3416" i="2"/>
  <c r="AL4177" i="2"/>
  <c r="AL4168" i="2"/>
  <c r="AL4155" i="2"/>
  <c r="AL4090" i="2"/>
  <c r="AL4055" i="2"/>
  <c r="AL3938" i="2"/>
  <c r="AL4161" i="2"/>
  <c r="AL4073" i="2"/>
  <c r="AL3912" i="2"/>
  <c r="AL3833" i="2"/>
  <c r="AL3826" i="2"/>
  <c r="AL3715" i="2"/>
  <c r="AL3702" i="2"/>
  <c r="AL3562" i="2"/>
  <c r="AL4441" i="2"/>
  <c r="AL4230" i="2"/>
  <c r="AL4205" i="2"/>
  <c r="AL3997" i="2"/>
  <c r="AL3882" i="2"/>
  <c r="AL3876" i="2"/>
  <c r="AL3859" i="2"/>
  <c r="AL3791" i="2"/>
  <c r="AL3608" i="2"/>
  <c r="AL4384" i="2"/>
  <c r="AL4249" i="2"/>
  <c r="AL4237" i="2"/>
  <c r="AL4231" i="2"/>
  <c r="AL4103" i="2"/>
  <c r="AL407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797" i="2"/>
  <c r="AL4649" i="2"/>
  <c r="AL4597" i="2"/>
  <c r="AL4579" i="2"/>
  <c r="AL4973" i="2"/>
  <c r="AL4853" i="2"/>
  <c r="AL4785" i="2"/>
  <c r="AL4698"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16" i="2"/>
  <c r="AL4771" i="2"/>
  <c r="AL4733" i="2"/>
  <c r="AL4556" i="2"/>
  <c r="AL4537" i="2"/>
  <c r="AL4926" i="2"/>
  <c r="AL4896" i="2"/>
  <c r="AL4874" i="2"/>
  <c r="AL4772" i="2"/>
  <c r="AL4730" i="2"/>
  <c r="AL4582" i="2"/>
  <c r="AL4961" i="2"/>
  <c r="AL4843" i="2"/>
  <c r="AL4825" i="2"/>
  <c r="AL4789" i="2"/>
  <c r="AL4758" i="2"/>
  <c r="AL4751" i="2"/>
  <c r="AL4675" i="2"/>
  <c r="AL4604" i="2"/>
  <c r="AL4594" i="2"/>
  <c r="AL4550" i="2"/>
  <c r="AL4506" i="2"/>
  <c r="AL4452" i="2"/>
  <c r="AL4686" i="2"/>
  <c r="AL4635" i="2"/>
  <c r="AL4580" i="2"/>
  <c r="AL4574" i="2"/>
  <c r="AL4548" i="2"/>
  <c r="AL4522" i="2"/>
  <c r="AL4449" i="2"/>
  <c r="AL4921" i="2"/>
  <c r="AL4905" i="2"/>
  <c r="AL4879" i="2"/>
  <c r="AL4689" i="2"/>
  <c r="AL4645" i="2"/>
  <c r="AL4623" i="2"/>
  <c r="AL4619" i="2"/>
  <c r="AL4586" i="2"/>
  <c r="AL4650" i="2"/>
  <c r="AL4572" i="2"/>
  <c r="AL4554" i="2"/>
  <c r="AL4525" i="2"/>
  <c r="AL4412" i="2"/>
  <c r="AL4404" i="2"/>
  <c r="AL4375" i="2"/>
  <c r="AL4254" i="2"/>
  <c r="AL4632" i="2"/>
  <c r="AL4543"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7" i="2" l="1"/>
  <c r="AM47" i="2" s="1"/>
  <c r="AL11" i="2"/>
  <c r="AM11" i="2" s="1"/>
  <c r="AL42" i="2"/>
  <c r="AM42" i="2" s="1"/>
  <c r="AL41" i="2"/>
  <c r="AM41" i="2" s="1"/>
  <c r="AL40" i="2"/>
  <c r="AM40" i="2" s="1"/>
  <c r="AL38" i="2"/>
  <c r="AM38" i="2" s="1"/>
  <c r="AL37" i="2"/>
  <c r="AM37" i="2" s="1"/>
  <c r="AL35" i="2"/>
  <c r="AM35" i="2" s="1"/>
  <c r="AL26" i="2"/>
  <c r="AM26" i="2" s="1"/>
  <c r="AL24" i="2"/>
  <c r="AM24" i="2" s="1"/>
  <c r="AL20" i="2"/>
  <c r="AM20" i="2" s="1"/>
  <c r="AL19" i="2"/>
  <c r="AM19" i="2" s="1"/>
  <c r="AL46" i="2"/>
  <c r="AL45" i="2"/>
  <c r="AM45" i="2" s="1"/>
  <c r="AL44" i="2"/>
  <c r="AM44" i="2" s="1"/>
  <c r="AL43" i="2"/>
  <c r="AM43" i="2" s="1"/>
  <c r="AL39" i="2"/>
  <c r="AM39" i="2" s="1"/>
  <c r="AL36" i="2"/>
  <c r="AM36" i="2" s="1"/>
  <c r="AL33" i="2"/>
  <c r="AM33" i="2" s="1"/>
  <c r="AL32" i="2"/>
  <c r="AM32" i="2" s="1"/>
  <c r="AL31" i="2"/>
  <c r="AM31" i="2" s="1"/>
  <c r="AL30" i="2"/>
  <c r="AM30" i="2" s="1"/>
  <c r="AL29" i="2"/>
  <c r="AM29" i="2" s="1"/>
  <c r="AL28" i="2"/>
  <c r="AM28" i="2" s="1"/>
  <c r="AL27" i="2"/>
  <c r="AM27" i="2" s="1"/>
  <c r="AL25" i="2"/>
  <c r="AM25" i="2" s="1"/>
  <c r="AL23" i="2"/>
  <c r="AM23" i="2" s="1"/>
  <c r="AL22" i="2"/>
  <c r="AM22" i="2" s="1"/>
  <c r="AL21" i="2"/>
  <c r="AM21" i="2" s="1"/>
  <c r="AL17" i="2"/>
  <c r="AM17" i="2" s="1"/>
  <c r="AL16" i="2"/>
  <c r="AL15" i="2"/>
  <c r="AM15" i="2" s="1"/>
  <c r="AL14" i="2"/>
  <c r="AL13" i="2"/>
  <c r="AM13" i="2" s="1"/>
  <c r="AL10" i="2"/>
  <c r="AM10" i="2" s="1"/>
  <c r="AL9" i="2"/>
  <c r="AM9" i="2" s="1"/>
  <c r="AL8" i="2"/>
  <c r="AM8" i="2" s="1"/>
  <c r="AL7" i="2"/>
  <c r="AM7" i="2" s="1"/>
  <c r="AL6" i="2"/>
  <c r="AM6" i="2" s="1"/>
  <c r="AL18" i="2"/>
  <c r="AM18" i="2" s="1"/>
  <c r="AL34" i="2"/>
  <c r="AM34" i="2" s="1"/>
  <c r="AL12" i="2"/>
  <c r="AM12" i="2" s="1"/>
  <c r="AL4990" i="2"/>
  <c r="AL4984" i="2"/>
  <c r="AL4951" i="2"/>
  <c r="AL4915" i="2"/>
  <c r="AL4836" i="2"/>
  <c r="AL4963" i="2"/>
  <c r="AL4938" i="2"/>
  <c r="AL4932" i="2"/>
  <c r="AL4920" i="2"/>
  <c r="AL4871" i="2"/>
  <c r="AL4845" i="2"/>
  <c r="AL4832" i="2"/>
  <c r="AL4812" i="2"/>
  <c r="AL4866" i="2"/>
  <c r="AL4982" i="2"/>
  <c r="AL4964" i="2"/>
  <c r="AL4946" i="2"/>
  <c r="AL4945" i="2"/>
  <c r="AL4942" i="2"/>
  <c r="AL4930" i="2"/>
  <c r="AL4923" i="2"/>
  <c r="AL4830" i="2"/>
  <c r="AL4824" i="2"/>
  <c r="AL4776" i="2"/>
  <c r="AL4913" i="2"/>
  <c r="AL4869" i="2"/>
  <c r="AL4977" i="2"/>
  <c r="AL4940" i="2"/>
  <c r="AL4873" i="2"/>
  <c r="AL4854" i="2"/>
  <c r="AL4980" i="2"/>
  <c r="AL4959" i="2"/>
  <c r="AL4949" i="2"/>
  <c r="AL4898" i="2"/>
  <c r="AL4863" i="2"/>
  <c r="AL4857" i="2"/>
  <c r="AL4820" i="2"/>
  <c r="AL4817" i="2"/>
  <c r="AL4795" i="2"/>
  <c r="AL4763" i="2"/>
  <c r="AL4747" i="2"/>
  <c r="AL4737" i="2"/>
  <c r="AL4722" i="2"/>
  <c r="AL4715" i="2"/>
  <c r="AL4708" i="2"/>
  <c r="AL4695" i="2"/>
  <c r="AL4673" i="2"/>
  <c r="AL4660" i="2"/>
  <c r="AL4657" i="2"/>
  <c r="AL4627" i="2"/>
  <c r="AL4530" i="2"/>
  <c r="AL4524" i="2"/>
  <c r="AL4480" i="2"/>
  <c r="AL4474" i="2"/>
  <c r="AL4457" i="2"/>
  <c r="AL4448" i="2"/>
  <c r="AL4760" i="2"/>
  <c r="AL4757" i="2"/>
  <c r="AL4754" i="2"/>
  <c r="AL4744" i="2"/>
  <c r="AL4740" i="2"/>
  <c r="AL4726" i="2"/>
  <c r="AL4705" i="2"/>
  <c r="AL4702" i="2"/>
  <c r="AL4631" i="2"/>
  <c r="AL4567" i="2"/>
  <c r="AL4534" i="2"/>
  <c r="AL4490" i="2"/>
  <c r="AL4484" i="2"/>
  <c r="AL4422" i="2"/>
  <c r="AL4814" i="2"/>
  <c r="AL4809" i="2"/>
  <c r="AL4800" i="2"/>
  <c r="AL4788" i="2"/>
  <c r="AL4764" i="2"/>
  <c r="AL4755" i="2"/>
  <c r="AL4622" i="2"/>
  <c r="AL4598" i="2"/>
  <c r="AL4376" i="2"/>
  <c r="AL4803" i="2"/>
  <c r="AL4805" i="2"/>
  <c r="AL4768" i="2"/>
  <c r="AL4727" i="2"/>
  <c r="AL4713" i="2"/>
  <c r="AL4707" i="2"/>
  <c r="AL4703" i="2"/>
  <c r="AL4700" i="2"/>
  <c r="AL4696" i="2"/>
  <c r="AL4674" i="2"/>
  <c r="AL4661" i="2"/>
  <c r="AL4655" i="2"/>
  <c r="AL4625" i="2"/>
  <c r="AL4602" i="2"/>
  <c r="AL4595" i="2"/>
  <c r="AL4589" i="2"/>
  <c r="AL4535" i="2"/>
  <c r="AL4497" i="2"/>
  <c r="AL4438" i="2"/>
  <c r="AL4793" i="2"/>
  <c r="AL4725" i="2"/>
  <c r="AL4710" i="2"/>
  <c r="AL4694" i="2"/>
  <c r="AL4693" i="2"/>
  <c r="AL4683" i="2"/>
  <c r="AL4666" i="2"/>
  <c r="AL4652" i="2"/>
  <c r="AL4435" i="2"/>
  <c r="AL4409" i="2"/>
  <c r="AL4354" i="2"/>
  <c r="AL4728" i="2"/>
  <c r="AL4721" i="2"/>
  <c r="AL4626" i="2"/>
  <c r="AL4762" i="2"/>
  <c r="AL4732" i="2"/>
  <c r="AL4701" i="2"/>
  <c r="AL4672" i="2"/>
  <c r="AL4653" i="2"/>
  <c r="AL4641" i="2"/>
  <c r="AL4634" i="2"/>
  <c r="AL4620" i="2"/>
  <c r="AL4600" i="2"/>
  <c r="AL4590" i="2"/>
  <c r="AL4584" i="2"/>
  <c r="AL4536" i="2"/>
  <c r="AL4523" i="2"/>
  <c r="AL4514" i="2"/>
  <c r="AL4492" i="2"/>
  <c r="AL4406" i="2"/>
  <c r="AL4403" i="2"/>
  <c r="AL4420" i="2"/>
  <c r="AL4289" i="2"/>
  <c r="AL4270" i="2"/>
  <c r="AL3989" i="2"/>
  <c r="AL3950" i="2"/>
  <c r="AL3936" i="2"/>
  <c r="AL3883" i="2"/>
  <c r="AL3825" i="2"/>
  <c r="AL3610" i="2"/>
  <c r="AL4347" i="2"/>
  <c r="AL4258" i="2"/>
  <c r="AL4199" i="2"/>
  <c r="AL4190" i="2"/>
  <c r="AL4052" i="2"/>
  <c r="AL4046" i="2"/>
  <c r="AL3925" i="2"/>
  <c r="AL3760" i="2"/>
  <c r="AL3743" i="2"/>
  <c r="AL3740" i="2"/>
  <c r="AL4391" i="2"/>
  <c r="AL4274" i="2"/>
  <c r="AL4271" i="2"/>
  <c r="AL4244" i="2"/>
  <c r="AL4122" i="2"/>
  <c r="AL3579" i="2"/>
  <c r="AL4364" i="2"/>
  <c r="AL4318" i="2"/>
  <c r="AL3712" i="2"/>
  <c r="AL4294" i="2"/>
  <c r="AL4259" i="2"/>
  <c r="AL4097" i="2"/>
  <c r="AL3948" i="2"/>
  <c r="AL3885" i="2"/>
  <c r="AL3832" i="2"/>
  <c r="AL3771" i="2"/>
  <c r="AL3755" i="2"/>
  <c r="AL3721" i="2"/>
  <c r="AL4361" i="2"/>
  <c r="AL4256" i="2"/>
  <c r="AL4195" i="2"/>
  <c r="AL4114" i="2"/>
  <c r="AL3892" i="2"/>
  <c r="AL3856" i="2"/>
  <c r="AL3709" i="2"/>
  <c r="AL4405" i="2"/>
  <c r="AL4397" i="2"/>
  <c r="AL4323" i="2"/>
  <c r="AL4320" i="2"/>
  <c r="AL4306" i="2"/>
  <c r="AL4162" i="2"/>
  <c r="AL4084" i="2"/>
  <c r="AL3955" i="2"/>
  <c r="AL3672" i="2"/>
  <c r="AL3234" i="2"/>
  <c r="AL2968" i="2"/>
  <c r="AL2939" i="2"/>
  <c r="AL2875" i="2"/>
  <c r="AL3415" i="2"/>
  <c r="AL3363" i="2"/>
  <c r="AL3320" i="2"/>
  <c r="AL3285" i="2"/>
  <c r="AL3481" i="2"/>
  <c r="AL3468" i="2"/>
  <c r="AL3464" i="2"/>
  <c r="AL3382" i="2"/>
  <c r="AL3289" i="2"/>
  <c r="AL3515" i="2"/>
  <c r="AL3272" i="2"/>
  <c r="AL3253" i="2"/>
  <c r="AL3158" i="2"/>
  <c r="AL3439" i="2"/>
  <c r="AL3328" i="2"/>
  <c r="AL3316" i="2"/>
  <c r="AL3138" i="2"/>
  <c r="AL3099" i="2"/>
  <c r="AL2530" i="2"/>
  <c r="AL2398" i="2"/>
  <c r="AL2641" i="2"/>
  <c r="AL2605" i="2"/>
  <c r="AL2479" i="2"/>
  <c r="AL2383" i="2"/>
  <c r="AL2767" i="2"/>
  <c r="AL2584" i="2"/>
  <c r="AL2835" i="2"/>
  <c r="AL2608" i="2"/>
  <c r="AL2468" i="2"/>
  <c r="AL2462" i="2"/>
  <c r="AL2406" i="2"/>
  <c r="AL2384" i="2"/>
  <c r="AL2438" i="2"/>
  <c r="AL2366" i="2"/>
  <c r="AL2353" i="2"/>
  <c r="AL2334" i="2"/>
  <c r="AL2295" i="2"/>
  <c r="AL2159" i="2"/>
  <c r="AL2149" i="2"/>
  <c r="AL1883" i="2"/>
  <c r="AL2184" i="2"/>
  <c r="AL2029" i="2"/>
  <c r="AL2264" i="2"/>
  <c r="AL2066" i="2"/>
  <c r="AL2282" i="2"/>
  <c r="AL2004" i="2"/>
  <c r="AL1308" i="2"/>
  <c r="AL1224" i="2"/>
  <c r="AL1093" i="2"/>
  <c r="AL983" i="2"/>
  <c r="AL1343" i="2"/>
  <c r="AL1183" i="2"/>
  <c r="AL1135" i="2"/>
  <c r="AL1633" i="2"/>
  <c r="AL1356" i="2"/>
  <c r="AL1103" i="2"/>
  <c r="AL1818" i="2"/>
  <c r="AL1249" i="2"/>
  <c r="AL1088" i="2"/>
  <c r="AL1001" i="2"/>
  <c r="AL967" i="2"/>
  <c r="AL1649" i="2"/>
  <c r="AL1588" i="2"/>
  <c r="AL1327" i="2"/>
  <c r="AL1275" i="2"/>
  <c r="AL1111" i="2"/>
  <c r="AL998" i="2"/>
  <c r="AL947" i="2"/>
  <c r="AL445" i="2"/>
  <c r="AL292" i="2"/>
  <c r="AL179" i="2"/>
  <c r="AL48" i="2"/>
  <c r="AL5227" i="2"/>
  <c r="AL297"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<sst xmlns="http://schemas.openxmlformats.org/spreadsheetml/2006/main" count="770" uniqueCount="208">
  <si>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</si>
  <si>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</si>
  <si>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</si>
  <si>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</si>
  <si>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</si>
  <si>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</si>
  <si>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</si>
  <si>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</si>
  <si>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</si>
  <si>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</si>
  <si>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</si>
  <si>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</si>
  <si>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</si>
  <si>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</si>
  <si>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</si>
  <si>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</si>
  <si>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</si>
  <si>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</si>
  <si>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</si>
  <si>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</si>
  <si>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</si>
  <si>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</si>
  <si>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</si>
  <si>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</si>
  <si>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</si>
  <si>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</si>
  <si>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</si>
  <si>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</si>
  <si>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</si>
  <si>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</si>
  <si>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</si>
  <si>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</si>
  <si>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</si>
  <si>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</si>
  <si>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</si>
  <si>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</si>
  <si>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</si>
  <si>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</si>
  <si>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</si>
  <si>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</si>
  <si>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</si>
  <si>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</si>
  <si>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</si>
  <si>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</si>
  <si>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</si>
  <si>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</si>
  <si>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</si>
  <si>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</si>
  <si>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</si>
  <si>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</si>
  <si>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</si>
  <si>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</si>
  <si>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</si>
  <si>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</si>
  <si>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</si>
  <si>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</si>
  <si>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</si>
  <si>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</si>
  <si>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</si>
  <si>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</si>
  <si>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</si>
  <si>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</si>
  <si>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</si>
  <si>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</si>
  <si>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</si>
  <si>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</si>
  <si>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</si>
  <si>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</si>
  <si>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</si>
  <si>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</si>
  <si>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</si>
  <si>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</si>
  <si>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</si>
  <si>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</si>
  <si>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</si>
  <si>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</si>
  <si>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</si>
  <si>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</si>
  <si>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</si>
  <si>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</si>
  <si>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</si>
  <si>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</si>
  <si>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</si>
  <si>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</si>
  <si>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</si>
  <si>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</si>
  <si>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</si>
  <si>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</si>
  <si>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</si>
  <si>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</si>
  <si>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</si>
  <si>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</si>
  <si>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</si>
  <si>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Tributary to Houston Tommy Creek</t>
  </si>
  <si>
    <t>Spur</t>
  </si>
  <si>
    <t>Closed Bottom Structure</t>
  </si>
  <si>
    <t>Round Culvert</t>
  </si>
  <si>
    <t>No</t>
  </si>
  <si>
    <t>Yes</t>
  </si>
  <si>
    <t>Deep Fill</t>
  </si>
  <si>
    <t>High</t>
  </si>
  <si>
    <t>Tributary to Morice River</t>
  </si>
  <si>
    <t>Gold Creek FSR</t>
  </si>
  <si>
    <t>Medium</t>
  </si>
  <si>
    <t>Holland Rd</t>
  </si>
  <si>
    <t>AI</t>
  </si>
  <si>
    <t>Wrinch Creek</t>
  </si>
  <si>
    <t>Morice-Owen FSR</t>
  </si>
  <si>
    <t>Emil Creek</t>
  </si>
  <si>
    <t>Low</t>
  </si>
  <si>
    <t>Other</t>
  </si>
  <si>
    <t>Tributary to Zymoetz River</t>
  </si>
  <si>
    <t>Dennis West FSR</t>
  </si>
  <si>
    <t>Open Bottom Structure</t>
  </si>
  <si>
    <t>Wood Box Culvert</t>
  </si>
  <si>
    <t>Chicago Creek</t>
  </si>
  <si>
    <t>Gershwin Creek</t>
  </si>
  <si>
    <t>Braucher Rd</t>
  </si>
  <si>
    <t>Tributary to Skeena River</t>
  </si>
  <si>
    <t>Aldous St</t>
  </si>
  <si>
    <t>Comeau Creek</t>
  </si>
  <si>
    <t>Shandilla Creek</t>
  </si>
  <si>
    <t>Highway 16</t>
  </si>
  <si>
    <t>MOTI</t>
  </si>
  <si>
    <t>Oval Culvert</t>
  </si>
  <si>
    <t>Tributary to Chicago Creek</t>
  </si>
  <si>
    <t>Tributary to Gershwin Creek</t>
  </si>
  <si>
    <t>Andimaul Creek</t>
  </si>
  <si>
    <t>Railway</t>
  </si>
  <si>
    <t>Concrete Box</t>
  </si>
  <si>
    <t xml:space="preserve">Tributary to Skeena River </t>
  </si>
  <si>
    <t>Bedrock</t>
  </si>
  <si>
    <t>Singlehurst Creek</t>
  </si>
  <si>
    <t>Noble Five Creek</t>
  </si>
  <si>
    <t>Fall Creek</t>
  </si>
  <si>
    <t>Flint Creek</t>
  </si>
  <si>
    <t>Shallow Fill</t>
  </si>
  <si>
    <t>Tributary to Tagit Creek</t>
  </si>
  <si>
    <t>9946-27 Rd</t>
  </si>
  <si>
    <t>Tributary to McDonell Lake</t>
  </si>
  <si>
    <t>Replace Structure with Streambed Simulation CBS</t>
  </si>
  <si>
    <t>Replace with New Open Bottom Structure</t>
  </si>
  <si>
    <t>Ford</t>
  </si>
  <si>
    <t>Canfor R07549</t>
  </si>
  <si>
    <t>Unclassified</t>
  </si>
  <si>
    <t>BCTS R22433</t>
  </si>
  <si>
    <t>MOTI Local</t>
  </si>
  <si>
    <t xml:space="preserve">CN Rail </t>
  </si>
  <si>
    <t>CN Rail</t>
  </si>
  <si>
    <t>Coast Tsimshian Resources Limited Partnership</t>
  </si>
  <si>
    <t>Knapper Rd</t>
  </si>
  <si>
    <t>Singlehurst Rd</t>
  </si>
  <si>
    <t>Cedarvale Rd</t>
  </si>
  <si>
    <t>skeena_2023_Phase1</t>
  </si>
  <si>
    <t>Skeena Fish Passage Restoration Planning 2023</t>
  </si>
  <si>
    <t>00180607</t>
  </si>
  <si>
    <t>Al Irvine</t>
  </si>
  <si>
    <t>250-777-1518</t>
  </si>
  <si>
    <t>al@newgraphenvironment.com</t>
  </si>
  <si>
    <t>00198456</t>
  </si>
  <si>
    <t xml:space="preserve">YLP Woodlands GP Ltd. </t>
  </si>
  <si>
    <t>YLP Woodlands GP Ltd.</t>
  </si>
  <si>
    <t>Wetzinkwa Community Forest Corporation</t>
  </si>
  <si>
    <t>Denis West FSR</t>
  </si>
  <si>
    <t>West Fraser Mills Ltd.</t>
  </si>
  <si>
    <t>Very good habitat upstream and downstream. Culvert is a little bent in the middle. Big outlet drop, fish spotted in outlet pool. Moderate flowing stream. 14:35:45</t>
  </si>
  <si>
    <t>Culvert very warped on inlet side. Deep outlet pool indicating culvert is undersized. Fry spotted in outlet pool. Wide channel with good flow and habitat value. Cutthroat trout confirmed upstream. 14:12:45</t>
  </si>
  <si>
    <t>Stream is mostly dewatered, not flowing. Some water in pools. Small amount of water in culvert but no flow. Outlet pool present. Habitat looks good at higher flows. 13:11:07</t>
  </si>
  <si>
    <t>Erosion present on road near outlet. Old, rusted culvert. Fry spotted near inlet. Debris jam blocking most of inlet. Good habitat on both sides. Not a very high traffic road. Might need restoration if road erodes further. Culvert is a little undersized. Confirmed fish presence upstream of culvert. 13:44:21</t>
  </si>
  <si>
    <t>Deep outlet pool, culvert may be undersized. Relatively wide stream with good habitat, dolly varden confirmed downstream in the past.  15:05:09</t>
  </si>
  <si>
    <t>Stream is dewatered. Wide channel with embedded culvert. Culvert is filled with substrate almost all the way to the top. Looks like high habitat quality when stream is flowing. Culvert is close to road, with a lower fill depth on inlet side. 16:55:20</t>
  </si>
  <si>
    <t>Dewatered tributary. Very overgrown and small stream channel. Culvert is bent downwards near the middle. 11:48:23</t>
  </si>
  <si>
    <t>Dewatered stream, small channel and overgrown. Very big outlet drop.  17:02:08</t>
  </si>
  <si>
    <t>Grassy wetland habitat upstream and small channel. Steep system. Stream bed substrate is mostly mud, not ideal fish habitat.  16:12:26</t>
  </si>
  <si>
    <t>Small rapids near inlet creating small drop. Appears to be high stream velocity in culvert, installing baffles could be an option. Wide stream with high flow, gravels present upstream. Ministry of Transportation chris_culvert_id: 1522582. 10:42:03</t>
  </si>
  <si>
    <t>Culvert is barely visible, small part of outlet can be seen but the rest is buried and submerged in water. Inlet not visible. Pipe looks very old and in bad condition. Moderate flow downstream with well defined channel. Upstream, channel is very overgrown and grassy vegetation. Culvert slope estimated. Ministry of Transportation chris_culvert_id: 1525550. 11:47:42</t>
  </si>
  <si>
    <t>Good flowing stream, fry spotted in culvert and upstream. No outlet drop or pool. Some gravels downstream, only sand/fines upstream of culvert. Flows through residential area. Channel is wider upstream than downstream. Ministry of Transportation chris_culvert_id: 1525089. 09:08:22</t>
  </si>
  <si>
    <t>Dewatered stream, very small channel upstream, overgrown and poorly defined. Outlet could not be found. No visible channel downstream. Ministry of Transportation chris_culvert_id: 1522940. 14:08:23</t>
  </si>
  <si>
    <t>Very large stream with massive outlet drop on the pipe. Slight gradient change within the pipe for the last one and a half metres before the outlet as it is a bit steeper. Skeena river is immediately downstream of the outlet.  Pink salmon spawning location noted upstream of the site.                   Ministry of Transportation chris_hwy_structure_road_id: 4100. 15:23:46</t>
  </si>
  <si>
    <t>Very long culvert. Small road/trail between highway and outlet, culvert runs underneath both. Upstream side is in fenced off agricultural field, could not access. Lots of fines/sands in stream bed. Some gravels and cobbles. Good flow in culvert, does not appear to be a fish passage issue. Ministry of Transportation chris_culvert_id: 1522604. 09:32:36</t>
  </si>
  <si>
    <t>Relatively wide channel with high flow. Wetland habitat upstream. Beaver grate at inlet, 0.25m wide between vertical metal rods so still passable to all fish. Some stream substrate and cobbles present in culvert. Ministry of Transportation chris_culvert_id: 1522560. 11:13:12</t>
  </si>
  <si>
    <t>Fish spotted in outlet pool (approx. 40cm long). Good spawning gravels just downstream of outlet pool. Wide channel. Ministry of Transportation chris_culvert_id: 1522485. 12:19:12</t>
  </si>
  <si>
    <t>Massive outlet drop. Stream flows over big boulders before dropping down and creating large outlet pool. Some holes in culvert near end of pipe at outlet where water is flowing down through. High stream velocity in pipe. Nice stream with wide channel and high flow. Water line in stream downstream of crossing. Dolly Varden confirmed upstream of crossing. 15:04:28</t>
  </si>
  <si>
    <t>Big outlet drop and relatively deep pool. Big, wide culvert, some stream substrate in pipe but only on one side. Wide channel, high flow and steep system. Very low fill depth. Small fry seen in pipe. Ministry of Transportation chris_hwy_structure_road_id: 4099. 16:04:40</t>
  </si>
  <si>
    <t>High value spawning habitat upstream. One redd observed upstream. DFO and MOTI historic back watering and side channel sites. Approximately 30 pink salmon spawners and 10 steelhead spawners immediately downstream of the last wooden structure downstream of the pipe.           Ministry of Transportation chris_hwy_structure_road_id: 192334. 10:06:21</t>
  </si>
  <si>
    <t>Abundant gravels present upstream. Very wide channel with good flow. Minimal outlet drop but deep pool. Historic steelhead and coho point upstream. 10:10:43</t>
  </si>
  <si>
    <t>High fill depth and massive outlet drop. Pipe is bent sideways in the middle, can barely see the other side from inlet. Moderate flow in stream. Ministry of Transportation chris_culvert_id: 1923309. 09:17:20</t>
  </si>
  <si>
    <t>Massive pipe, wide stream with high flow. Baffles in pipe reducing stream velocity and allows fish to rest. Rainbow confirmed upstream and downstream. Ministry of Transportation chris_hwy_structure_road_id: 4098. 14:12:09</t>
  </si>
  <si>
    <t>Big outlet drop to Skeena River channel. Could be accessible during high-water in river. Small channel upstream. Stream is flowing. Chinook sampled upstream in the past. Ministry of Transportation chris_culvert_id: 1923241. 11:29:54</t>
  </si>
  <si>
    <t>Dewatered, no defined stream channel found. Outlet barely visible.  Ministry of Transportation chris_culvert_id: 1526980. 13:29:33</t>
  </si>
  <si>
    <t>Most of the inlet is blocked with accumulating fines upstream. Pipe is in very poor condition and starting to rust right through on the downstream end. Dolly Varden, and rainbow known upstream in FISS. Lots of beaver activity at the outlet. Small stream with mostly fine substrate immediately upstream and downstream of the highway.    Ministry of Transportation chris_culvert_id: 1923190. 11:07:49</t>
  </si>
  <si>
    <t>High distance from outlet of pipe to skeena wetted channel. Only accessible at high water. Big, wide wetland area just upstream of highway. Large woody debris blocking most of inlet. No water flowing through pipe. Some stagnant water upstream.  Ministry of Transportation chris_culvert_id: 1923235. 10:31:02</t>
  </si>
  <si>
    <t>Massive outlet pool. Drains into skeena river side channel. High flow and steep gradient upstream. Only passable upstream to adult salmon. Crossing a definite barrier to all fish. Ministry of Transportation chris_culvert_id: 1923203. 12:48:25</t>
  </si>
  <si>
    <t>Wetland habitat upstream and immediately downstream. Defined stream channel approx 10m downstream of crossing. Small channel with low flow. Old culvert, deep outlet pool. Beaver dam at inlet creating small drop. 14:40:33</t>
  </si>
  <si>
    <t>Nice stream with good flow and abundant gravel. Pipe is very under sized and appears to have been dredged at the upstream end to clear it. Fish observed in outlet pool. 18:36:33</t>
  </si>
  <si>
    <t>Wood box culvert with huge timbers. 16:47:42</t>
  </si>
  <si>
    <t>Area of historic sockeye spawning just upstream. Fry observed in stream. Abundant gravel throughout. 16:49:33</t>
  </si>
  <si>
    <t>Really good flow for the area on this very dry year. Numerous small fish observed upstream of the culvert. Cattle accessing the stream from the road upstream. Large outlet drop. 14:42:55</t>
  </si>
  <si>
    <t>Good flow for area and this time of year. Small channel through wetland type area downstream. Inlet of pipe is damaged with part of the pipe lodged inside. Substrate upstream appears to be composed of fines only. 17:07:05</t>
  </si>
  <si>
    <t>High value habitat. Major work has been done on this crossing to backwater the outlet using driven sheet pilings. There is an approximate 1.2 m high drop following 40 m of stream after the outlet where adult coho spawners are staged. Incredible spawning habitat upstream with low gradients and abundant gravels. Structure has the date 1920 stamped on the inlet. Known coho spawning system with long history and the Chicago creek restoration society putting in work for over 20 years. Fill depth estimated at 18 m, but changed to 9.9 to fulfill provincial sumbission requirements. 11:06:50</t>
  </si>
  <si>
    <t>Very high value habitat upstream with pockets of gravel throughout. Adult cutthroat or rainbow observed just downstream of Highway 16. Crossing upstream of here. Structure is dated 1923. Water flows within the box. Culvert at the time of the survey was approximately two to 5 cm deep. Skeena fisheries commission site with recommendation for installation of baffles. Fill depth estimated at 30 m and culvert length at 120 m, but changed to 9.9 and 99, respectively, in order to fulfill provincial sumbission requirements. 13:35:25</t>
  </si>
  <si>
    <t>Dry at the time of survey. Well defined channel. Connects to a side channel of the Skeena River. Ministry of Transportation chris_culvert_id: 1528713. 16:13:26</t>
  </si>
  <si>
    <t>Outlet of pipe is almost at high watermark of the Skeena. Suspect that elevation of the pipe may need to consider high water levels for the Skeena. However, normal high water level is not much higher than outlet pool surface level at time of the survey so outlet drop is nearly always elevated. Large stream with good flow. Coho observed upstream in FISS. Ministry of Transportation chris_culvert_id: 1923295. 09:35:23</t>
  </si>
  <si>
    <t>Beaver dam, approximately 1.4 m high located 5 m upstream of the inlet. Beaver influenced wetland upstream however, stream was dry at time of survey downstream of the dam. Skeena River is immediately downstream of the outlet with the high water level, approximately 2 m below pipe outlet. Culvert is in very poor condition with top side of the inlet, bent down and pipe rusted all the way through the bottom for the last 2 m of pipe at outlet. The area upstream of the highway may historically have provided refuge in high flows. However, at time of survey water levels were low with water quite stagnant.  Ministry of Transportation chris_culvert_id: 1923217. 13:00:04</t>
  </si>
  <si>
    <t>Major debris accumulation downstream of the culvert. Stream is dewatered downstream for at least 60 m. There are numerous buried concrete lock blocks downstream of the outlet, which may have been part of a backwatering system. Trash rack upstream of the crossing has failed, with steel members scattered throughout the stream. There are poured concrete wing walls upstream of the crossing with the right bank being approximately 8 m long and river left bank wall at 30 m long. Bottom half of the culvert is concrete and the top half is corrugated metal. Steeper stream with step pool habitat, and bedrock throughout the channel. Dolly Varden, and cutthroat noted upstream in FISS. Ministry of Transportation chris_hwy_structure_road_id: 2351. 14:11:58</t>
  </si>
  <si>
    <t>Small drainage with 1 m high beaverdam, approximately 5 m upstream of the inlet. Fine substrate. Seems unlikely that the stream is fish bearing. Historic FISS stream sample site conducted with channel dry at the time of their assessment. Culvert is in very poor condition, rusting through and bent significantly on the outlet. Pipe slope estimated as deformed pipe and position made measurement with clinometer not possible. Ministry of Transportation chris_culvert_id: 1923189. 11:38:36</t>
  </si>
  <si>
    <t>Historic rainbow point upstream of the highway. Small stream, dewaters (temporarily) 40 m upstream of the crossing. Pipe is in very bad condition and has bend from 13m in all the way to the outlet. Significant amounts of water leaking out of the bottom of the pipe and eroding the road prism at the outlet. Large outlet drop. Ministry of Transportation chris_culvert_id: 1923183. 12:24:21</t>
  </si>
  <si>
    <t>Stream is completely blown out at this location due to a major debris event. All water is sub surface. 09:52:40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</si>
</sst>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2">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1" fillId="0" borderId="0" xfId="3" applyProtection="1">
      <protection locked="0"/>
    </xf>
    <xf numFmtId="0" fontId="5" fillId="0" borderId="0" xfId="2" applyProtection="1">
      <protection locked="0"/>
    </xf>
    <xf numFmtId="2" fontId="5" fillId="0" borderId="0" xfId="2"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13" sqref="B13"/>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153</v>
      </c>
    </row>
    <row r="5" spans="1:20" x14ac:dyDescent="0.25">
      <c r="A5" s="4" t="s">
        <v>58</v>
      </c>
      <c r="B5" t="s">
        <v>154</v>
      </c>
    </row>
    <row r="6" spans="1:20" x14ac:dyDescent="0.25">
      <c r="A6" s="4"/>
      <c r="B6" s="10"/>
    </row>
    <row r="7" spans="1:20" x14ac:dyDescent="0.25">
      <c r="A7" s="4" t="s">
        <v>86</v>
      </c>
      <c r="B7" s="80" t="s">
        <v>155</v>
      </c>
    </row>
    <row r="8" spans="1:20" x14ac:dyDescent="0.25">
      <c r="A8" s="4" t="s">
        <v>73</v>
      </c>
      <c r="B8" t="s">
        <v>156</v>
      </c>
    </row>
    <row r="9" spans="1:20" x14ac:dyDescent="0.25">
      <c r="A9" s="4" t="s">
        <v>74</v>
      </c>
      <c r="B9" t="s">
        <v>157</v>
      </c>
    </row>
    <row r="10" spans="1:20" x14ac:dyDescent="0.25">
      <c r="A10" s="4" t="s">
        <v>75</v>
      </c>
      <c r="B10" s="81" t="s">
        <v>158</v>
      </c>
    </row>
    <row r="11" spans="1:20" x14ac:dyDescent="0.25">
      <c r="A11" s="4"/>
      <c r="B11" s="10"/>
    </row>
    <row r="12" spans="1:20" x14ac:dyDescent="0.25">
      <c r="A12" s="4" t="s">
        <v>36</v>
      </c>
      <c r="B12" s="80" t="s">
        <v>159</v>
      </c>
    </row>
    <row r="13" spans="1:20" x14ac:dyDescent="0.25">
      <c r="A13" s="4" t="s">
        <v>37</v>
      </c>
      <c r="B13" t="s">
        <v>156</v>
      </c>
    </row>
    <row r="14" spans="1:20" x14ac:dyDescent="0.25">
      <c r="A14" s="4" t="s">
        <v>38</v>
      </c>
      <c r="B14" t="s">
        <v>157</v>
      </c>
    </row>
    <row r="15" spans="1:20" x14ac:dyDescent="0.25">
      <c r="A15" s="4" t="s">
        <v>39</v>
      </c>
      <c r="B15" s="81" t="s">
        <v>158</v>
      </c>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BAC013C0-8235-4033-A828-99D9415C9EAB}"/>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P47" sqref="AP47"/>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45" x14ac:dyDescent="0.25">
      <c r="A5" s="59">
        <v>45181</v>
      </c>
      <c r="C5" s="10">
        <v>14000571</v>
      </c>
      <c r="D5" s="10" t="s">
        <v>92</v>
      </c>
      <c r="E5" s="11">
        <v>9</v>
      </c>
      <c r="F5" s="39">
        <v>631702.68200744002</v>
      </c>
      <c r="G5" s="39">
        <v>6017418.0057513202</v>
      </c>
      <c r="H5" s="11" t="s">
        <v>93</v>
      </c>
      <c r="I5" s="11" t="s">
        <v>94</v>
      </c>
      <c r="J5" s="33"/>
      <c r="K5" s="11" t="s">
        <v>143</v>
      </c>
      <c r="L5" s="10" t="s">
        <v>95</v>
      </c>
      <c r="M5" s="10" t="s">
        <v>96</v>
      </c>
      <c r="N5" s="82">
        <v>1.6</v>
      </c>
      <c r="O5" s="82">
        <v>18</v>
      </c>
      <c r="P5" s="10" t="s">
        <v>97</v>
      </c>
      <c r="Q5" s="86"/>
      <c r="R5" s="10" t="s">
        <v>97</v>
      </c>
      <c r="S5" s="10" t="s">
        <v>97</v>
      </c>
      <c r="T5" s="86"/>
      <c r="U5" s="10">
        <v>8</v>
      </c>
      <c r="V5" s="10">
        <v>0.7</v>
      </c>
      <c r="W5" s="10">
        <v>0.5</v>
      </c>
      <c r="X5" s="10" t="s">
        <v>97</v>
      </c>
      <c r="Y5" s="10">
        <v>4</v>
      </c>
      <c r="Z5" s="10">
        <v>2.8</v>
      </c>
      <c r="AA5" s="10">
        <v>3</v>
      </c>
      <c r="AB5" s="10" t="s">
        <v>97</v>
      </c>
      <c r="AC5" s="10" t="s">
        <v>98</v>
      </c>
      <c r="AD5" s="10" t="s">
        <v>99</v>
      </c>
      <c r="AE5" s="10" t="s">
        <v>100</v>
      </c>
      <c r="AF5" s="20">
        <f>IF(ISBLANK(Z5), 0, IF(ISBLANK(N5) &lt; 0, 0,Z5 / N5))</f>
        <v>1.7499999999999998</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140</v>
      </c>
      <c r="AO5" s="10">
        <v>4.5</v>
      </c>
      <c r="AP5" s="84" t="s">
        <v>165</v>
      </c>
    </row>
    <row r="6" spans="1:42" x14ac:dyDescent="0.25">
      <c r="A6" s="59">
        <v>45181</v>
      </c>
      <c r="C6" s="10">
        <v>14000575</v>
      </c>
      <c r="D6" s="10" t="s">
        <v>92</v>
      </c>
      <c r="E6" s="11">
        <v>9</v>
      </c>
      <c r="F6" s="39">
        <v>636436.24520689005</v>
      </c>
      <c r="G6" s="39">
        <v>6020756.2384916199</v>
      </c>
      <c r="H6" s="10" t="s">
        <v>101</v>
      </c>
      <c r="I6" s="11" t="s">
        <v>102</v>
      </c>
      <c r="J6" s="33"/>
      <c r="K6" s="10" t="s">
        <v>143</v>
      </c>
      <c r="L6" s="10" t="s">
        <v>95</v>
      </c>
      <c r="M6" s="10" t="s">
        <v>96</v>
      </c>
      <c r="N6" s="82">
        <v>1.2</v>
      </c>
      <c r="O6" s="82">
        <v>16</v>
      </c>
      <c r="P6" s="10" t="s">
        <v>97</v>
      </c>
      <c r="Q6" s="86"/>
      <c r="R6" s="10" t="s">
        <v>97</v>
      </c>
      <c r="S6" s="10" t="s">
        <v>97</v>
      </c>
      <c r="T6" s="86"/>
      <c r="U6" s="10">
        <v>1.5</v>
      </c>
      <c r="V6" s="10">
        <v>0.2</v>
      </c>
      <c r="W6" s="10">
        <v>0.9</v>
      </c>
      <c r="X6" s="10" t="s">
        <v>97</v>
      </c>
      <c r="Y6" s="10">
        <v>0</v>
      </c>
      <c r="Z6" s="10">
        <v>2.2000000000000002</v>
      </c>
      <c r="AA6" s="10">
        <v>2.5</v>
      </c>
      <c r="AB6" s="10" t="s">
        <v>97</v>
      </c>
      <c r="AC6" s="10" t="s">
        <v>98</v>
      </c>
      <c r="AD6" s="10" t="s">
        <v>99</v>
      </c>
      <c r="AE6" s="10" t="s">
        <v>100</v>
      </c>
      <c r="AF6" s="20">
        <f t="shared" ref="AF6:AF11" si="0">IF(ISBLANK(Z6), 0, IF(ISBLANK(N6) &lt; 0, 0,Z6 / N6))</f>
        <v>1.8333333333333335</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0</v>
      </c>
      <c r="AK6" s="7">
        <f t="shared" ref="AK6:AK67" si="5">IF(AF6&lt;1,0,IF(AND(AF6&gt;=1,AF6&lt;1.3),3,IF(AF6&gt;=1.3,6,0)))</f>
        <v>6</v>
      </c>
      <c r="AL6" s="12">
        <f t="shared" ref="AL6:AL11" si="6">AG6 + AH6 + AI6 + AJ6 + AK6</f>
        <v>24</v>
      </c>
      <c r="AM6" s="14" t="str">
        <f t="shared" ref="AM6:AM67" si="7">IF(ISBLANK(L6), "", IF(L6 = "Open Bottom Structure", "Passable", IF(L6 = "Other", "Unknown", IF(AL6 &lt; 15, "Passable", IF(AND(AL6 &gt;= 15,AL6 &lt;= 19), "Potential", IF(AL6 &gt; 19, "Barrier", ""))))))</f>
        <v>Barrier</v>
      </c>
      <c r="AN6" s="10" t="s">
        <v>141</v>
      </c>
      <c r="AO6" s="10">
        <v>15</v>
      </c>
      <c r="AP6" s="84" t="s">
        <v>166</v>
      </c>
    </row>
    <row r="7" spans="1:42" x14ac:dyDescent="0.25">
      <c r="A7" s="59">
        <v>45181</v>
      </c>
      <c r="C7" s="10">
        <v>14000638</v>
      </c>
      <c r="D7" s="10" t="s">
        <v>92</v>
      </c>
      <c r="E7" s="11">
        <v>9</v>
      </c>
      <c r="F7" s="39">
        <v>637530.94138905196</v>
      </c>
      <c r="G7" s="39">
        <v>6021807.8867334696</v>
      </c>
      <c r="H7" s="10" t="s">
        <v>101</v>
      </c>
      <c r="I7" s="11" t="s">
        <v>102</v>
      </c>
      <c r="J7" s="33"/>
      <c r="K7" s="10" t="s">
        <v>143</v>
      </c>
      <c r="L7" s="10" t="s">
        <v>95</v>
      </c>
      <c r="M7" s="10" t="s">
        <v>96</v>
      </c>
      <c r="N7" s="21">
        <v>1.2</v>
      </c>
      <c r="O7" s="21">
        <v>24</v>
      </c>
      <c r="P7" s="10" t="s">
        <v>97</v>
      </c>
      <c r="Q7" s="86"/>
      <c r="R7" s="10" t="s">
        <v>97</v>
      </c>
      <c r="S7" s="10" t="s">
        <v>97</v>
      </c>
      <c r="T7" s="86"/>
      <c r="U7" s="10">
        <v>4</v>
      </c>
      <c r="V7" s="10">
        <v>0</v>
      </c>
      <c r="W7" s="10">
        <v>0.4</v>
      </c>
      <c r="X7" s="10" t="s">
        <v>97</v>
      </c>
      <c r="Y7" s="10">
        <v>5</v>
      </c>
      <c r="Z7" s="10">
        <v>1.7</v>
      </c>
      <c r="AA7" s="10">
        <v>4</v>
      </c>
      <c r="AB7" s="10" t="s">
        <v>97</v>
      </c>
      <c r="AC7" s="10" t="s">
        <v>97</v>
      </c>
      <c r="AD7" s="10" t="s">
        <v>99</v>
      </c>
      <c r="AE7" s="10" t="s">
        <v>103</v>
      </c>
      <c r="AF7" s="20">
        <f t="shared" si="0"/>
        <v>1.4166666666666667</v>
      </c>
      <c r="AG7" s="13">
        <f t="shared" si="1"/>
        <v>3</v>
      </c>
      <c r="AH7" s="7">
        <f t="shared" si="2"/>
        <v>10</v>
      </c>
      <c r="AI7" s="7">
        <f t="shared" si="3"/>
        <v>0</v>
      </c>
      <c r="AJ7" s="7">
        <f t="shared" si="4"/>
        <v>10</v>
      </c>
      <c r="AK7" s="7">
        <f t="shared" si="5"/>
        <v>6</v>
      </c>
      <c r="AL7" s="12">
        <f t="shared" si="6"/>
        <v>29</v>
      </c>
      <c r="AM7" s="14" t="str">
        <f t="shared" si="7"/>
        <v>Barrier</v>
      </c>
      <c r="AN7" s="10" t="s">
        <v>140</v>
      </c>
      <c r="AO7" s="10">
        <v>3</v>
      </c>
      <c r="AP7" s="10" t="s">
        <v>167</v>
      </c>
    </row>
    <row r="8" spans="1:42" x14ac:dyDescent="0.25">
      <c r="A8" s="59">
        <v>45181</v>
      </c>
      <c r="B8" s="79"/>
      <c r="C8" s="10">
        <v>14000855</v>
      </c>
      <c r="D8" s="10" t="s">
        <v>92</v>
      </c>
      <c r="E8" s="11">
        <v>9</v>
      </c>
      <c r="F8" s="39">
        <v>636690.84319358703</v>
      </c>
      <c r="G8" s="39">
        <v>6020942.7343819896</v>
      </c>
      <c r="H8" s="10" t="s">
        <v>101</v>
      </c>
      <c r="I8" s="11" t="s">
        <v>150</v>
      </c>
      <c r="J8" s="78"/>
      <c r="K8" s="83" t="s">
        <v>143</v>
      </c>
      <c r="L8" s="10" t="s">
        <v>95</v>
      </c>
      <c r="M8" s="10" t="s">
        <v>96</v>
      </c>
      <c r="N8" s="21">
        <v>0.9</v>
      </c>
      <c r="O8" s="21">
        <v>18</v>
      </c>
      <c r="P8" s="10" t="s">
        <v>97</v>
      </c>
      <c r="Q8" s="86"/>
      <c r="R8" s="10" t="s">
        <v>97</v>
      </c>
      <c r="S8" s="10" t="s">
        <v>97</v>
      </c>
      <c r="T8" s="86"/>
      <c r="U8" s="10">
        <v>1</v>
      </c>
      <c r="V8" s="10">
        <v>0</v>
      </c>
      <c r="W8" s="10">
        <v>1.2</v>
      </c>
      <c r="X8" s="10" t="s">
        <v>97</v>
      </c>
      <c r="Y8" s="10">
        <v>1</v>
      </c>
      <c r="Z8" s="10">
        <v>1.9</v>
      </c>
      <c r="AA8" s="10">
        <v>3</v>
      </c>
      <c r="AB8" s="10" t="s">
        <v>98</v>
      </c>
      <c r="AC8" s="10" t="s">
        <v>98</v>
      </c>
      <c r="AD8" s="10" t="s">
        <v>99</v>
      </c>
      <c r="AE8" s="10" t="s">
        <v>100</v>
      </c>
      <c r="AF8" s="20">
        <f t="shared" si="0"/>
        <v>2.1111111111111112</v>
      </c>
      <c r="AG8" s="13">
        <f t="shared" si="1"/>
        <v>3</v>
      </c>
      <c r="AH8" s="7">
        <f t="shared" si="2"/>
        <v>10</v>
      </c>
      <c r="AI8" s="7">
        <f t="shared" si="3"/>
        <v>0</v>
      </c>
      <c r="AJ8" s="7">
        <f t="shared" si="4"/>
        <v>5</v>
      </c>
      <c r="AK8" s="7">
        <f t="shared" si="5"/>
        <v>6</v>
      </c>
      <c r="AL8" s="12">
        <f t="shared" si="6"/>
        <v>24</v>
      </c>
      <c r="AM8" s="14" t="str">
        <f t="shared" si="7"/>
        <v>Barrier</v>
      </c>
      <c r="AN8" s="10" t="s">
        <v>140</v>
      </c>
      <c r="AO8" s="10">
        <v>3</v>
      </c>
      <c r="AP8" s="10" t="s">
        <v>168</v>
      </c>
    </row>
    <row r="9" spans="1:42" x14ac:dyDescent="0.25">
      <c r="A9" s="59">
        <v>45181</v>
      </c>
      <c r="C9" s="10">
        <v>14001106</v>
      </c>
      <c r="D9" s="10" t="s">
        <v>92</v>
      </c>
      <c r="E9" s="11">
        <v>9</v>
      </c>
      <c r="F9" s="39">
        <v>631507.52171442995</v>
      </c>
      <c r="G9" s="39">
        <v>6018096.4170890404</v>
      </c>
      <c r="H9" s="84" t="s">
        <v>93</v>
      </c>
      <c r="I9" s="11" t="s">
        <v>104</v>
      </c>
      <c r="J9" s="33"/>
      <c r="K9" s="83" t="s">
        <v>143</v>
      </c>
      <c r="L9" s="10" t="s">
        <v>95</v>
      </c>
      <c r="M9" s="10" t="s">
        <v>96</v>
      </c>
      <c r="N9" s="21">
        <v>1.2</v>
      </c>
      <c r="O9" s="21">
        <v>14</v>
      </c>
      <c r="P9" s="10" t="s">
        <v>97</v>
      </c>
      <c r="Q9" s="86"/>
      <c r="R9" s="10" t="s">
        <v>97</v>
      </c>
      <c r="S9" s="10" t="s">
        <v>97</v>
      </c>
      <c r="T9" s="86"/>
      <c r="U9" s="10">
        <v>0.7</v>
      </c>
      <c r="V9" s="10">
        <v>0.1</v>
      </c>
      <c r="W9" s="10">
        <v>0.7</v>
      </c>
      <c r="X9" s="10" t="s">
        <v>97</v>
      </c>
      <c r="Y9" s="10">
        <v>1</v>
      </c>
      <c r="Z9" s="10">
        <v>1.9</v>
      </c>
      <c r="AA9" s="10">
        <v>2</v>
      </c>
      <c r="AB9" s="10" t="s">
        <v>97</v>
      </c>
      <c r="AC9" s="10" t="s">
        <v>97</v>
      </c>
      <c r="AD9" s="10" t="s">
        <v>99</v>
      </c>
      <c r="AE9" s="10" t="s">
        <v>100</v>
      </c>
      <c r="AF9" s="20">
        <f t="shared" si="0"/>
        <v>1.5833333333333333</v>
      </c>
      <c r="AG9" s="13">
        <f t="shared" si="1"/>
        <v>0</v>
      </c>
      <c r="AH9" s="7">
        <f t="shared" si="2"/>
        <v>10</v>
      </c>
      <c r="AI9" s="7">
        <f t="shared" si="3"/>
        <v>0</v>
      </c>
      <c r="AJ9" s="7">
        <f t="shared" si="4"/>
        <v>5</v>
      </c>
      <c r="AK9" s="7">
        <f t="shared" si="5"/>
        <v>6</v>
      </c>
      <c r="AL9" s="12">
        <f t="shared" si="6"/>
        <v>21</v>
      </c>
      <c r="AM9" s="14" t="str">
        <f t="shared" si="7"/>
        <v>Barrier</v>
      </c>
      <c r="AN9" s="10" t="s">
        <v>140</v>
      </c>
      <c r="AO9" s="10">
        <v>3</v>
      </c>
      <c r="AP9" s="10" t="s">
        <v>169</v>
      </c>
    </row>
    <row r="10" spans="1:42" x14ac:dyDescent="0.25">
      <c r="A10" s="59">
        <v>45182</v>
      </c>
      <c r="C10" s="10">
        <v>14000707</v>
      </c>
      <c r="D10" s="10" t="s">
        <v>105</v>
      </c>
      <c r="E10" s="11">
        <v>9</v>
      </c>
      <c r="F10" s="39">
        <v>648055.28630691394</v>
      </c>
      <c r="G10" s="39">
        <v>5994864.6038424699</v>
      </c>
      <c r="H10" s="84" t="s">
        <v>106</v>
      </c>
      <c r="I10" s="11" t="s">
        <v>107</v>
      </c>
      <c r="J10" s="33"/>
      <c r="K10" s="10" t="s">
        <v>160</v>
      </c>
      <c r="L10" s="10" t="s">
        <v>95</v>
      </c>
      <c r="M10" s="10" t="s">
        <v>96</v>
      </c>
      <c r="N10" s="21">
        <v>0.75</v>
      </c>
      <c r="O10" s="21">
        <v>26</v>
      </c>
      <c r="P10" s="10" t="s">
        <v>97</v>
      </c>
      <c r="Q10" s="87"/>
      <c r="R10" s="10" t="s">
        <v>97</v>
      </c>
      <c r="S10" s="10" t="s">
        <v>97</v>
      </c>
      <c r="T10" s="87"/>
      <c r="U10" s="21">
        <v>1.5</v>
      </c>
      <c r="V10" s="10">
        <v>0.3</v>
      </c>
      <c r="W10" s="21">
        <v>0.75</v>
      </c>
      <c r="X10" s="10" t="s">
        <v>97</v>
      </c>
      <c r="Y10" s="21">
        <v>2</v>
      </c>
      <c r="Z10" s="21">
        <v>1.5</v>
      </c>
      <c r="AA10" s="10">
        <v>2</v>
      </c>
      <c r="AB10" s="10" t="s">
        <v>97</v>
      </c>
      <c r="AC10" s="10" t="s">
        <v>97</v>
      </c>
      <c r="AD10" s="10" t="s">
        <v>99</v>
      </c>
      <c r="AE10" s="10" t="s">
        <v>103</v>
      </c>
      <c r="AF10" s="20">
        <f t="shared" si="0"/>
        <v>2</v>
      </c>
      <c r="AG10" s="13">
        <f t="shared" si="1"/>
        <v>3</v>
      </c>
      <c r="AH10" s="7">
        <f t="shared" si="2"/>
        <v>10</v>
      </c>
      <c r="AI10" s="7">
        <f t="shared" si="3"/>
        <v>10</v>
      </c>
      <c r="AJ10" s="7">
        <f t="shared" si="4"/>
        <v>5</v>
      </c>
      <c r="AK10" s="7">
        <f t="shared" si="5"/>
        <v>6</v>
      </c>
      <c r="AL10" s="12">
        <f t="shared" si="6"/>
        <v>34</v>
      </c>
      <c r="AM10" s="14" t="str">
        <f t="shared" si="7"/>
        <v>Barrier</v>
      </c>
      <c r="AN10" s="88" t="s">
        <v>140</v>
      </c>
      <c r="AO10" s="89">
        <v>3</v>
      </c>
      <c r="AP10" s="10" t="s">
        <v>198</v>
      </c>
    </row>
    <row r="11" spans="1:42" x14ac:dyDescent="0.25">
      <c r="A11" s="59">
        <v>45182</v>
      </c>
      <c r="C11" s="84">
        <v>14000708</v>
      </c>
      <c r="D11" s="10" t="s">
        <v>92</v>
      </c>
      <c r="E11" s="10">
        <v>9</v>
      </c>
      <c r="F11" s="85">
        <v>647361.77971393999</v>
      </c>
      <c r="G11" s="85">
        <v>5997427.3008342497</v>
      </c>
      <c r="H11" s="84" t="s">
        <v>108</v>
      </c>
      <c r="I11" s="11" t="s">
        <v>107</v>
      </c>
      <c r="J11" s="33">
        <v>41.1</v>
      </c>
      <c r="K11" s="10" t="s">
        <v>161</v>
      </c>
      <c r="L11" s="10" t="s">
        <v>95</v>
      </c>
      <c r="M11" s="10" t="s">
        <v>96</v>
      </c>
      <c r="N11" s="21">
        <v>1.3</v>
      </c>
      <c r="O11" s="21">
        <v>15</v>
      </c>
      <c r="P11" s="10" t="s">
        <v>98</v>
      </c>
      <c r="Q11" s="21">
        <v>0.1</v>
      </c>
      <c r="R11" s="10" t="s">
        <v>98</v>
      </c>
      <c r="S11" s="10" t="s">
        <v>97</v>
      </c>
      <c r="T11" s="87"/>
      <c r="U11" s="21">
        <v>1</v>
      </c>
      <c r="V11" s="10">
        <v>0</v>
      </c>
      <c r="W11" s="21">
        <v>0</v>
      </c>
      <c r="X11" s="10" t="s">
        <v>97</v>
      </c>
      <c r="Y11" s="21">
        <v>2</v>
      </c>
      <c r="Z11" s="21">
        <v>2.5</v>
      </c>
      <c r="AA11" s="10">
        <v>4</v>
      </c>
      <c r="AB11" s="10" t="s">
        <v>97</v>
      </c>
      <c r="AC11" s="10" t="s">
        <v>97</v>
      </c>
      <c r="AD11" s="10" t="s">
        <v>99</v>
      </c>
      <c r="AE11" s="10" t="s">
        <v>100</v>
      </c>
      <c r="AF11" s="20">
        <f t="shared" si="0"/>
        <v>1.9230769230769229</v>
      </c>
      <c r="AG11" s="13">
        <f t="shared" si="1"/>
        <v>3</v>
      </c>
      <c r="AH11" s="7">
        <f t="shared" si="2"/>
        <v>5</v>
      </c>
      <c r="AI11" s="7">
        <f t="shared" si="3"/>
        <v>0</v>
      </c>
      <c r="AJ11" s="7">
        <f>IF(Y11&lt;1,0,IF(AND(Y11&gt;=1,Y11&lt;3),5,IF(Y11&gt;=3,10,0)))</f>
        <v>5</v>
      </c>
      <c r="AK11" s="7">
        <f t="shared" si="5"/>
        <v>6</v>
      </c>
      <c r="AL11" s="12">
        <f t="shared" si="6"/>
        <v>19</v>
      </c>
      <c r="AM11" s="14" t="str">
        <f t="shared" si="7"/>
        <v>Potential</v>
      </c>
      <c r="AN11" s="10" t="s">
        <v>141</v>
      </c>
      <c r="AO11" s="10">
        <v>15</v>
      </c>
      <c r="AP11" s="10" t="s">
        <v>170</v>
      </c>
    </row>
    <row r="12" spans="1:42" ht="30" x14ac:dyDescent="0.25">
      <c r="A12" s="59">
        <v>45185</v>
      </c>
      <c r="C12" s="10">
        <v>14000637</v>
      </c>
      <c r="D12" s="10" t="s">
        <v>105</v>
      </c>
      <c r="E12" s="11">
        <v>9</v>
      </c>
      <c r="F12" s="39">
        <v>640014.01527308801</v>
      </c>
      <c r="G12" s="39">
        <v>6023911.1069866503</v>
      </c>
      <c r="H12" s="11" t="s">
        <v>101</v>
      </c>
      <c r="I12" s="11" t="s">
        <v>102</v>
      </c>
      <c r="J12" s="33"/>
      <c r="K12" s="11" t="s">
        <v>143</v>
      </c>
      <c r="L12" s="10" t="s">
        <v>95</v>
      </c>
      <c r="M12" s="10" t="s">
        <v>96</v>
      </c>
      <c r="N12" s="21">
        <v>0.9</v>
      </c>
      <c r="O12" s="21">
        <v>24</v>
      </c>
      <c r="P12" s="10" t="s">
        <v>97</v>
      </c>
      <c r="Q12" s="86"/>
      <c r="R12" s="10" t="s">
        <v>97</v>
      </c>
      <c r="S12" s="10" t="s">
        <v>97</v>
      </c>
      <c r="T12" s="87"/>
      <c r="U12" s="21">
        <v>5</v>
      </c>
      <c r="V12" s="10">
        <v>0.75</v>
      </c>
      <c r="W12" s="21">
        <v>0.15</v>
      </c>
      <c r="X12" s="10" t="s">
        <v>97</v>
      </c>
      <c r="Y12" s="21">
        <v>2</v>
      </c>
      <c r="Z12" s="21">
        <v>2</v>
      </c>
      <c r="AA12" s="10">
        <v>1.5</v>
      </c>
      <c r="AB12" s="10" t="s">
        <v>97</v>
      </c>
      <c r="AC12" s="10" t="s">
        <v>98</v>
      </c>
      <c r="AD12" s="10" t="s">
        <v>99</v>
      </c>
      <c r="AE12" s="10" t="s">
        <v>103</v>
      </c>
      <c r="AF12" s="20">
        <f t="shared" ref="AF12:AF72" si="8">IF(ISBLANK(Z12), 0, IF(ISBLANK(N12) &lt; 0, 0,Z12 / N12))</f>
        <v>2.2222222222222223</v>
      </c>
      <c r="AG12" s="13">
        <f t="shared" si="1"/>
        <v>3</v>
      </c>
      <c r="AH12" s="7">
        <f t="shared" si="2"/>
        <v>10</v>
      </c>
      <c r="AI12" s="7">
        <f t="shared" si="3"/>
        <v>10</v>
      </c>
      <c r="AJ12" s="7">
        <f t="shared" si="4"/>
        <v>5</v>
      </c>
      <c r="AK12" s="7">
        <f t="shared" si="5"/>
        <v>6</v>
      </c>
      <c r="AL12" s="12">
        <f t="shared" ref="AL12:AL70" si="9">AG12 + AH12 + AI12 + AJ12 + AK12</f>
        <v>34</v>
      </c>
      <c r="AM12" s="14" t="str">
        <f t="shared" si="7"/>
        <v>Barrier</v>
      </c>
      <c r="AN12" s="88" t="s">
        <v>141</v>
      </c>
      <c r="AO12" s="89">
        <v>21</v>
      </c>
      <c r="AP12" s="10" t="s">
        <v>197</v>
      </c>
    </row>
    <row r="13" spans="1:42" ht="45" x14ac:dyDescent="0.25">
      <c r="A13" s="59">
        <v>45185</v>
      </c>
      <c r="C13" s="10">
        <v>14001105</v>
      </c>
      <c r="D13" s="10" t="s">
        <v>92</v>
      </c>
      <c r="E13" s="11">
        <v>9</v>
      </c>
      <c r="F13" s="39">
        <v>631177.90796783101</v>
      </c>
      <c r="G13" s="39">
        <v>6018352.3805983802</v>
      </c>
      <c r="H13" s="11" t="s">
        <v>93</v>
      </c>
      <c r="I13" s="11" t="s">
        <v>104</v>
      </c>
      <c r="K13" s="11" t="s">
        <v>143</v>
      </c>
      <c r="L13" s="10" t="s">
        <v>95</v>
      </c>
      <c r="M13" s="10" t="s">
        <v>96</v>
      </c>
      <c r="N13" s="21">
        <v>1</v>
      </c>
      <c r="O13" s="21">
        <v>10</v>
      </c>
      <c r="P13" s="10" t="s">
        <v>97</v>
      </c>
      <c r="Q13" s="86"/>
      <c r="R13" s="10" t="s">
        <v>97</v>
      </c>
      <c r="S13" s="10" t="s">
        <v>97</v>
      </c>
      <c r="T13" s="86"/>
      <c r="U13" s="21">
        <v>0.6</v>
      </c>
      <c r="V13" s="10">
        <v>0.2</v>
      </c>
      <c r="W13" s="21">
        <v>0</v>
      </c>
      <c r="X13" s="10" t="s">
        <v>97</v>
      </c>
      <c r="Y13" s="21">
        <v>1</v>
      </c>
      <c r="Z13" s="21">
        <v>0.8</v>
      </c>
      <c r="AA13" s="10">
        <v>2.5</v>
      </c>
      <c r="AB13" s="10" t="s">
        <v>97</v>
      </c>
      <c r="AC13" s="10" t="s">
        <v>97</v>
      </c>
      <c r="AD13" s="10" t="s">
        <v>99</v>
      </c>
      <c r="AE13" s="10" t="s">
        <v>109</v>
      </c>
      <c r="AF13" s="20">
        <f t="shared" si="8"/>
        <v>0.8</v>
      </c>
      <c r="AG13" s="13">
        <f t="shared" si="1"/>
        <v>0</v>
      </c>
      <c r="AH13" s="7">
        <f t="shared" si="2"/>
        <v>10</v>
      </c>
      <c r="AI13" s="7">
        <f t="shared" si="3"/>
        <v>5</v>
      </c>
      <c r="AJ13" s="7">
        <f t="shared" si="4"/>
        <v>5</v>
      </c>
      <c r="AK13" s="7">
        <f t="shared" si="5"/>
        <v>0</v>
      </c>
      <c r="AL13" s="12">
        <f t="shared" si="9"/>
        <v>20</v>
      </c>
      <c r="AM13" s="14" t="str">
        <f t="shared" si="7"/>
        <v>Barrier</v>
      </c>
      <c r="AN13" s="10" t="s">
        <v>140</v>
      </c>
      <c r="AO13" s="21">
        <v>3</v>
      </c>
      <c r="AP13" s="10" t="s">
        <v>171</v>
      </c>
    </row>
    <row r="14" spans="1:42" ht="30" x14ac:dyDescent="0.25">
      <c r="A14" s="59">
        <v>45187</v>
      </c>
      <c r="C14" s="10">
        <v>24600461</v>
      </c>
      <c r="D14" s="10" t="s">
        <v>105</v>
      </c>
      <c r="E14" s="11">
        <v>9</v>
      </c>
      <c r="F14" s="39">
        <v>590953.76350143901</v>
      </c>
      <c r="G14" s="39">
        <v>6071963.0763328401</v>
      </c>
      <c r="H14" s="11" t="s">
        <v>139</v>
      </c>
      <c r="I14" s="11" t="s">
        <v>94</v>
      </c>
      <c r="J14" s="22">
        <v>0.75</v>
      </c>
      <c r="K14" s="11" t="s">
        <v>144</v>
      </c>
      <c r="L14" s="10" t="s">
        <v>110</v>
      </c>
      <c r="M14" s="10" t="s">
        <v>142</v>
      </c>
      <c r="N14" s="87"/>
      <c r="O14" s="87"/>
      <c r="P14" s="86"/>
      <c r="Q14" s="86"/>
      <c r="R14" s="86"/>
      <c r="S14" s="86"/>
      <c r="T14" s="86"/>
      <c r="U14" s="87"/>
      <c r="V14" s="86"/>
      <c r="W14" s="87"/>
      <c r="X14" s="86"/>
      <c r="Y14" s="87"/>
      <c r="Z14" s="87"/>
      <c r="AA14" s="86"/>
      <c r="AB14" s="10" t="s">
        <v>97</v>
      </c>
      <c r="AC14" s="10" t="s">
        <v>97</v>
      </c>
      <c r="AD14" s="86"/>
      <c r="AE14" s="86"/>
      <c r="AF14" s="20">
        <f t="shared" si="8"/>
        <v>0</v>
      </c>
      <c r="AG14" s="13">
        <f t="shared" si="1"/>
        <v>0</v>
      </c>
      <c r="AH14" s="7">
        <f t="shared" si="2"/>
        <v>0</v>
      </c>
      <c r="AI14" s="7">
        <f t="shared" si="3"/>
        <v>0</v>
      </c>
      <c r="AJ14" s="7">
        <f t="shared" si="4"/>
        <v>0</v>
      </c>
      <c r="AK14" s="7">
        <f t="shared" si="5"/>
        <v>0</v>
      </c>
      <c r="AL14" s="12">
        <f t="shared" si="9"/>
        <v>0</v>
      </c>
      <c r="AM14" s="14" t="str">
        <f t="shared" si="7"/>
        <v>Unknown</v>
      </c>
      <c r="AN14" s="88"/>
      <c r="AO14" s="89"/>
      <c r="AP14" s="10" t="s">
        <v>196</v>
      </c>
    </row>
    <row r="15" spans="1:42" ht="60" x14ac:dyDescent="0.25">
      <c r="A15" s="59">
        <v>45188</v>
      </c>
      <c r="C15" s="10">
        <v>24601268</v>
      </c>
      <c r="D15" s="10" t="s">
        <v>92</v>
      </c>
      <c r="E15" s="11">
        <v>9</v>
      </c>
      <c r="F15" s="39">
        <v>597568.38934064901</v>
      </c>
      <c r="G15" s="39">
        <v>6070336.6538916295</v>
      </c>
      <c r="H15" s="11" t="s">
        <v>111</v>
      </c>
      <c r="I15" s="11" t="s">
        <v>112</v>
      </c>
      <c r="K15" s="11" t="s">
        <v>162</v>
      </c>
      <c r="L15" s="10" t="s">
        <v>95</v>
      </c>
      <c r="M15" s="10" t="s">
        <v>96</v>
      </c>
      <c r="N15" s="21">
        <v>0.6</v>
      </c>
      <c r="O15" s="21">
        <v>12</v>
      </c>
      <c r="P15" s="10" t="s">
        <v>97</v>
      </c>
      <c r="Q15" s="86"/>
      <c r="R15" s="10" t="s">
        <v>97</v>
      </c>
      <c r="S15" s="10" t="s">
        <v>97</v>
      </c>
      <c r="T15" s="87"/>
      <c r="U15" s="21">
        <v>0.8</v>
      </c>
      <c r="V15" s="10">
        <v>1</v>
      </c>
      <c r="W15" s="21">
        <v>0.3</v>
      </c>
      <c r="X15" s="10" t="s">
        <v>97</v>
      </c>
      <c r="Y15" s="21">
        <v>6</v>
      </c>
      <c r="Z15" s="21">
        <v>1.1000000000000001</v>
      </c>
      <c r="AA15" s="10">
        <v>8</v>
      </c>
      <c r="AB15" s="10" t="s">
        <v>97</v>
      </c>
      <c r="AC15" s="10" t="s">
        <v>97</v>
      </c>
      <c r="AD15" s="10" t="s">
        <v>99</v>
      </c>
      <c r="AE15" s="10" t="s">
        <v>109</v>
      </c>
      <c r="AF15" s="20">
        <f t="shared" si="8"/>
        <v>1.8333333333333335</v>
      </c>
      <c r="AG15" s="13">
        <f t="shared" si="1"/>
        <v>0</v>
      </c>
      <c r="AH15" s="7">
        <f t="shared" si="2"/>
        <v>10</v>
      </c>
      <c r="AI15" s="7">
        <f t="shared" si="3"/>
        <v>10</v>
      </c>
      <c r="AJ15" s="7">
        <f t="shared" si="4"/>
        <v>10</v>
      </c>
      <c r="AK15" s="7">
        <f t="shared" si="5"/>
        <v>6</v>
      </c>
      <c r="AL15" s="12">
        <f t="shared" si="9"/>
        <v>36</v>
      </c>
      <c r="AM15" s="14" t="str">
        <f t="shared" si="7"/>
        <v>Barrier</v>
      </c>
      <c r="AN15" s="10" t="s">
        <v>140</v>
      </c>
      <c r="AO15" s="21">
        <v>3</v>
      </c>
      <c r="AP15" s="10" t="s">
        <v>172</v>
      </c>
    </row>
    <row r="16" spans="1:42" ht="30" x14ac:dyDescent="0.25">
      <c r="A16" s="59">
        <v>45188</v>
      </c>
      <c r="C16" s="10">
        <v>24601275</v>
      </c>
      <c r="D16" s="10" t="s">
        <v>105</v>
      </c>
      <c r="E16" s="11">
        <v>9</v>
      </c>
      <c r="F16" s="39">
        <v>592861.45099805098</v>
      </c>
      <c r="G16" s="39">
        <v>6070870.5728710601</v>
      </c>
      <c r="H16" s="11" t="s">
        <v>139</v>
      </c>
      <c r="I16" s="11" t="s">
        <v>163</v>
      </c>
      <c r="K16" s="11" t="s">
        <v>145</v>
      </c>
      <c r="L16" s="10" t="s">
        <v>113</v>
      </c>
      <c r="M16" s="10" t="s">
        <v>114</v>
      </c>
      <c r="N16" s="21">
        <v>5</v>
      </c>
      <c r="O16" s="21">
        <v>20</v>
      </c>
      <c r="P16" s="86"/>
      <c r="Q16" s="86"/>
      <c r="R16" s="86"/>
      <c r="S16" s="86"/>
      <c r="T16" s="87"/>
      <c r="U16" s="87"/>
      <c r="V16" s="86"/>
      <c r="W16" s="87"/>
      <c r="X16" s="86"/>
      <c r="Y16" s="87"/>
      <c r="Z16" s="87"/>
      <c r="AA16" s="86"/>
      <c r="AB16" s="10" t="s">
        <v>97</v>
      </c>
      <c r="AC16" s="10" t="s">
        <v>97</v>
      </c>
      <c r="AD16" s="86"/>
      <c r="AE16" s="86"/>
      <c r="AF16" s="20">
        <f t="shared" si="8"/>
        <v>0</v>
      </c>
      <c r="AG16" s="13">
        <f t="shared" si="1"/>
        <v>3</v>
      </c>
      <c r="AH16" s="7">
        <f t="shared" si="2"/>
        <v>0</v>
      </c>
      <c r="AI16" s="7">
        <f t="shared" si="3"/>
        <v>0</v>
      </c>
      <c r="AJ16" s="7">
        <f t="shared" si="4"/>
        <v>0</v>
      </c>
      <c r="AK16" s="7">
        <f t="shared" si="5"/>
        <v>0</v>
      </c>
      <c r="AL16" s="12">
        <f t="shared" si="9"/>
        <v>3</v>
      </c>
      <c r="AM16" s="14" t="str">
        <f t="shared" si="7"/>
        <v>Passable</v>
      </c>
      <c r="AN16" s="90"/>
      <c r="AO16" s="91"/>
      <c r="AP16" s="10" t="s">
        <v>195</v>
      </c>
    </row>
    <row r="17" spans="1:42" ht="30" x14ac:dyDescent="0.25">
      <c r="A17" s="59">
        <v>45188</v>
      </c>
      <c r="C17" s="10">
        <v>24601279</v>
      </c>
      <c r="D17" s="10" t="s">
        <v>92</v>
      </c>
      <c r="E17" s="11">
        <v>9</v>
      </c>
      <c r="F17" s="39">
        <v>590211.26620618801</v>
      </c>
      <c r="G17" s="39">
        <v>6069930.6258668303</v>
      </c>
      <c r="H17" s="11" t="s">
        <v>139</v>
      </c>
      <c r="I17" s="11" t="s">
        <v>112</v>
      </c>
      <c r="K17" s="11" t="s">
        <v>145</v>
      </c>
      <c r="L17" s="10" t="s">
        <v>95</v>
      </c>
      <c r="M17" s="10" t="s">
        <v>96</v>
      </c>
      <c r="N17" s="21">
        <v>1.1000000000000001</v>
      </c>
      <c r="O17" s="21">
        <v>10</v>
      </c>
      <c r="P17" s="10" t="s">
        <v>97</v>
      </c>
      <c r="Q17" s="87"/>
      <c r="R17" s="10" t="s">
        <v>97</v>
      </c>
      <c r="S17" s="10" t="s">
        <v>97</v>
      </c>
      <c r="T17" s="86"/>
      <c r="U17" s="21">
        <v>1.2</v>
      </c>
      <c r="V17" s="10">
        <v>0</v>
      </c>
      <c r="W17" s="21">
        <v>0</v>
      </c>
      <c r="X17" s="10" t="s">
        <v>97</v>
      </c>
      <c r="Y17" s="21">
        <v>8</v>
      </c>
      <c r="Z17" s="21">
        <v>0.8</v>
      </c>
      <c r="AA17" s="10">
        <v>11</v>
      </c>
      <c r="AB17" s="10" t="s">
        <v>97</v>
      </c>
      <c r="AC17" s="10" t="s">
        <v>97</v>
      </c>
      <c r="AD17" s="10" t="s">
        <v>99</v>
      </c>
      <c r="AE17" s="10" t="s">
        <v>109</v>
      </c>
      <c r="AF17" s="20">
        <f t="shared" si="8"/>
        <v>0.72727272727272729</v>
      </c>
      <c r="AG17" s="13">
        <f t="shared" si="1"/>
        <v>0</v>
      </c>
      <c r="AH17" s="7">
        <f t="shared" si="2"/>
        <v>10</v>
      </c>
      <c r="AI17" s="7">
        <f t="shared" si="3"/>
        <v>0</v>
      </c>
      <c r="AJ17" s="7">
        <f t="shared" si="4"/>
        <v>10</v>
      </c>
      <c r="AK17" s="7">
        <f t="shared" si="5"/>
        <v>0</v>
      </c>
      <c r="AL17" s="12">
        <f t="shared" si="9"/>
        <v>20</v>
      </c>
      <c r="AM17" s="14" t="str">
        <f t="shared" si="7"/>
        <v>Barrier</v>
      </c>
      <c r="AN17" s="10" t="s">
        <v>140</v>
      </c>
      <c r="AO17" s="21">
        <v>3</v>
      </c>
      <c r="AP17" s="10" t="s">
        <v>173</v>
      </c>
    </row>
    <row r="18" spans="1:42" ht="60" x14ac:dyDescent="0.25">
      <c r="A18" s="59">
        <v>45188</v>
      </c>
      <c r="C18" s="10">
        <v>24601280</v>
      </c>
      <c r="D18" s="10" t="s">
        <v>105</v>
      </c>
      <c r="E18" s="11">
        <v>9</v>
      </c>
      <c r="F18" s="39">
        <v>597637.37671671202</v>
      </c>
      <c r="G18" s="39">
        <v>6070210.7910661101</v>
      </c>
      <c r="H18" s="11" t="s">
        <v>111</v>
      </c>
      <c r="I18" s="11" t="s">
        <v>112</v>
      </c>
      <c r="K18" s="11" t="s">
        <v>162</v>
      </c>
      <c r="L18" s="10" t="s">
        <v>95</v>
      </c>
      <c r="M18" s="10" t="s">
        <v>96</v>
      </c>
      <c r="N18" s="21">
        <v>0.6</v>
      </c>
      <c r="O18" s="21">
        <v>18.5</v>
      </c>
      <c r="P18" s="10" t="s">
        <v>97</v>
      </c>
      <c r="Q18" s="86"/>
      <c r="R18" s="10" t="s">
        <v>97</v>
      </c>
      <c r="S18" s="10" t="s">
        <v>97</v>
      </c>
      <c r="T18" s="87"/>
      <c r="U18" s="21">
        <v>1</v>
      </c>
      <c r="V18" s="10">
        <v>0.18</v>
      </c>
      <c r="W18" s="21">
        <v>0.4</v>
      </c>
      <c r="X18" s="10" t="s">
        <v>98</v>
      </c>
      <c r="Y18" s="21">
        <v>5</v>
      </c>
      <c r="Z18" s="21">
        <v>1.8</v>
      </c>
      <c r="AA18" s="10">
        <v>7</v>
      </c>
      <c r="AB18" s="10" t="s">
        <v>97</v>
      </c>
      <c r="AC18" s="10" t="s">
        <v>98</v>
      </c>
      <c r="AD18" s="10" t="s">
        <v>99</v>
      </c>
      <c r="AE18" s="10" t="s">
        <v>103</v>
      </c>
      <c r="AF18" s="20">
        <f t="shared" si="8"/>
        <v>3</v>
      </c>
      <c r="AG18" s="13">
        <f t="shared" si="1"/>
        <v>3</v>
      </c>
      <c r="AH18" s="7">
        <f t="shared" si="2"/>
        <v>10</v>
      </c>
      <c r="AI18" s="7">
        <f t="shared" si="3"/>
        <v>5</v>
      </c>
      <c r="AJ18" s="7">
        <f t="shared" si="4"/>
        <v>10</v>
      </c>
      <c r="AK18" s="7">
        <f t="shared" si="5"/>
        <v>6</v>
      </c>
      <c r="AL18" s="12">
        <f t="shared" si="9"/>
        <v>34</v>
      </c>
      <c r="AM18" s="14" t="str">
        <f t="shared" si="7"/>
        <v>Barrier</v>
      </c>
      <c r="AN18" s="88" t="s">
        <v>140</v>
      </c>
      <c r="AO18" s="89">
        <v>3</v>
      </c>
      <c r="AP18" s="10" t="s">
        <v>194</v>
      </c>
    </row>
    <row r="19" spans="1:42" x14ac:dyDescent="0.25">
      <c r="A19" s="59">
        <v>45194</v>
      </c>
      <c r="C19" s="10">
        <v>8300003</v>
      </c>
      <c r="D19" s="10" t="s">
        <v>92</v>
      </c>
      <c r="E19" s="11">
        <v>9</v>
      </c>
      <c r="F19" s="39">
        <v>585139.96705797105</v>
      </c>
      <c r="G19" s="39">
        <v>6119114.8776774099</v>
      </c>
      <c r="H19" s="11" t="s">
        <v>115</v>
      </c>
      <c r="I19" s="11" t="s">
        <v>122</v>
      </c>
      <c r="J19" s="33"/>
      <c r="K19" s="11" t="s">
        <v>123</v>
      </c>
      <c r="L19" s="10" t="s">
        <v>95</v>
      </c>
      <c r="M19" s="10" t="s">
        <v>96</v>
      </c>
      <c r="N19" s="21">
        <v>1.6</v>
      </c>
      <c r="O19" s="21">
        <v>20</v>
      </c>
      <c r="P19" s="10" t="s">
        <v>97</v>
      </c>
      <c r="Q19" s="86"/>
      <c r="R19" s="10" t="s">
        <v>97</v>
      </c>
      <c r="S19" s="10" t="s">
        <v>97</v>
      </c>
      <c r="T19" s="87"/>
      <c r="U19" s="21">
        <v>4</v>
      </c>
      <c r="V19" s="10">
        <v>0.2</v>
      </c>
      <c r="W19" s="21">
        <v>0.7</v>
      </c>
      <c r="X19" s="10" t="s">
        <v>97</v>
      </c>
      <c r="Y19" s="21">
        <v>4.5</v>
      </c>
      <c r="Z19" s="21">
        <v>3.9</v>
      </c>
      <c r="AA19" s="10">
        <v>3</v>
      </c>
      <c r="AB19" s="10" t="s">
        <v>97</v>
      </c>
      <c r="AC19" s="10" t="s">
        <v>97</v>
      </c>
      <c r="AD19" s="10" t="s">
        <v>99</v>
      </c>
      <c r="AE19" s="10" t="s">
        <v>100</v>
      </c>
      <c r="AF19" s="20">
        <f t="shared" si="8"/>
        <v>2.4375</v>
      </c>
      <c r="AG19" s="13">
        <f t="shared" si="1"/>
        <v>3</v>
      </c>
      <c r="AH19" s="7">
        <f t="shared" si="2"/>
        <v>10</v>
      </c>
      <c r="AI19" s="7">
        <f t="shared" si="3"/>
        <v>5</v>
      </c>
      <c r="AJ19" s="7">
        <f t="shared" si="4"/>
        <v>10</v>
      </c>
      <c r="AK19" s="7">
        <f t="shared" si="5"/>
        <v>6</v>
      </c>
      <c r="AL19" s="12">
        <f t="shared" si="9"/>
        <v>34</v>
      </c>
      <c r="AM19" s="14" t="str">
        <f t="shared" si="7"/>
        <v>Barrier</v>
      </c>
      <c r="AN19" s="10" t="s">
        <v>141</v>
      </c>
      <c r="AO19" s="21">
        <v>18</v>
      </c>
      <c r="AP19" s="10" t="s">
        <v>174</v>
      </c>
    </row>
    <row r="20" spans="1:42" x14ac:dyDescent="0.25">
      <c r="A20" s="59">
        <v>45194</v>
      </c>
      <c r="C20" s="10">
        <v>8300013</v>
      </c>
      <c r="D20" s="10" t="s">
        <v>92</v>
      </c>
      <c r="E20" s="11">
        <v>9</v>
      </c>
      <c r="F20" s="39">
        <v>581146.27816212503</v>
      </c>
      <c r="G20" s="39">
        <v>6115874.40299688</v>
      </c>
      <c r="H20" s="10" t="s">
        <v>116</v>
      </c>
      <c r="I20" s="11" t="s">
        <v>117</v>
      </c>
      <c r="J20" s="33"/>
      <c r="K20" s="11" t="s">
        <v>146</v>
      </c>
      <c r="L20" s="10" t="s">
        <v>95</v>
      </c>
      <c r="M20" s="10" t="s">
        <v>96</v>
      </c>
      <c r="N20" s="21">
        <v>0.75</v>
      </c>
      <c r="O20" s="21">
        <v>8</v>
      </c>
      <c r="P20" s="10" t="s">
        <v>97</v>
      </c>
      <c r="Q20" s="86"/>
      <c r="R20" s="10" t="s">
        <v>97</v>
      </c>
      <c r="S20" s="10" t="s">
        <v>97</v>
      </c>
      <c r="T20" s="86"/>
      <c r="U20" s="10">
        <v>1</v>
      </c>
      <c r="V20" s="10">
        <v>0</v>
      </c>
      <c r="W20" s="10">
        <v>0</v>
      </c>
      <c r="X20" s="10" t="s">
        <v>97</v>
      </c>
      <c r="Y20" s="10">
        <v>2</v>
      </c>
      <c r="Z20" s="10">
        <v>2.1</v>
      </c>
      <c r="AA20" s="10">
        <v>3</v>
      </c>
      <c r="AB20" s="10" t="s">
        <v>97</v>
      </c>
      <c r="AC20" s="10" t="s">
        <v>97</v>
      </c>
      <c r="AD20" s="10" t="s">
        <v>99</v>
      </c>
      <c r="AE20" s="10" t="s">
        <v>109</v>
      </c>
      <c r="AF20" s="20">
        <f t="shared" si="8"/>
        <v>2.8000000000000003</v>
      </c>
      <c r="AG20" s="13">
        <f t="shared" si="1"/>
        <v>0</v>
      </c>
      <c r="AH20" s="7">
        <f t="shared" si="2"/>
        <v>10</v>
      </c>
      <c r="AI20" s="7">
        <f t="shared" si="3"/>
        <v>0</v>
      </c>
      <c r="AJ20" s="7">
        <f t="shared" si="4"/>
        <v>5</v>
      </c>
      <c r="AK20" s="7">
        <f t="shared" si="5"/>
        <v>6</v>
      </c>
      <c r="AL20" s="12">
        <f t="shared" si="9"/>
        <v>21</v>
      </c>
      <c r="AM20" s="14" t="str">
        <f t="shared" si="7"/>
        <v>Barrier</v>
      </c>
      <c r="AN20" s="10" t="s">
        <v>141</v>
      </c>
      <c r="AO20" s="10">
        <v>15</v>
      </c>
      <c r="AP20" s="10" t="s">
        <v>175</v>
      </c>
    </row>
    <row r="21" spans="1:42" x14ac:dyDescent="0.25">
      <c r="A21" s="59">
        <v>45194</v>
      </c>
      <c r="C21" s="10">
        <v>8300091</v>
      </c>
      <c r="D21" s="10" t="s">
        <v>92</v>
      </c>
      <c r="E21" s="10">
        <v>9</v>
      </c>
      <c r="F21" s="21">
        <v>585181.32496605604</v>
      </c>
      <c r="G21" s="21">
        <v>6120192.0778484801</v>
      </c>
      <c r="H21" s="10" t="s">
        <v>118</v>
      </c>
      <c r="I21" s="10" t="s">
        <v>119</v>
      </c>
      <c r="J21" s="33"/>
      <c r="K21" s="10" t="s">
        <v>123</v>
      </c>
      <c r="L21" s="10" t="s">
        <v>95</v>
      </c>
      <c r="M21" s="10" t="s">
        <v>96</v>
      </c>
      <c r="N21" s="21">
        <v>2</v>
      </c>
      <c r="O21" s="21">
        <v>15</v>
      </c>
      <c r="P21" s="10" t="s">
        <v>97</v>
      </c>
      <c r="Q21" s="87"/>
      <c r="R21" s="10" t="s">
        <v>97</v>
      </c>
      <c r="S21" s="10" t="s">
        <v>97</v>
      </c>
      <c r="T21" s="87"/>
      <c r="U21" s="21">
        <v>2.2000000000000002</v>
      </c>
      <c r="V21" s="10">
        <v>0</v>
      </c>
      <c r="W21" s="21">
        <v>0</v>
      </c>
      <c r="X21" s="10" t="s">
        <v>97</v>
      </c>
      <c r="Y21" s="21">
        <v>1</v>
      </c>
      <c r="Z21" s="21">
        <v>3.1</v>
      </c>
      <c r="AA21" s="10">
        <v>1</v>
      </c>
      <c r="AB21" s="10" t="s">
        <v>97</v>
      </c>
      <c r="AC21" s="10" t="s">
        <v>98</v>
      </c>
      <c r="AD21" s="10" t="s">
        <v>99</v>
      </c>
      <c r="AE21" s="10" t="s">
        <v>103</v>
      </c>
      <c r="AF21" s="20">
        <f t="shared" si="8"/>
        <v>1.55</v>
      </c>
      <c r="AG21" s="13">
        <f t="shared" si="1"/>
        <v>3</v>
      </c>
      <c r="AH21" s="7">
        <f t="shared" si="2"/>
        <v>10</v>
      </c>
      <c r="AI21" s="7">
        <f t="shared" si="3"/>
        <v>0</v>
      </c>
      <c r="AJ21" s="7">
        <f t="shared" si="4"/>
        <v>5</v>
      </c>
      <c r="AK21" s="7">
        <f t="shared" si="5"/>
        <v>6</v>
      </c>
      <c r="AL21" s="12">
        <f t="shared" si="9"/>
        <v>24</v>
      </c>
      <c r="AM21" s="14" t="str">
        <f t="shared" si="7"/>
        <v>Barrier</v>
      </c>
      <c r="AN21" s="10" t="s">
        <v>141</v>
      </c>
      <c r="AO21" s="21">
        <v>15</v>
      </c>
      <c r="AP21" s="10" t="s">
        <v>176</v>
      </c>
    </row>
    <row r="22" spans="1:42" x14ac:dyDescent="0.25">
      <c r="A22" s="59">
        <v>45194</v>
      </c>
      <c r="C22" s="10">
        <v>8300094</v>
      </c>
      <c r="D22" s="10" t="s">
        <v>92</v>
      </c>
      <c r="E22" s="11">
        <v>9</v>
      </c>
      <c r="F22" s="39">
        <v>578738.19227280596</v>
      </c>
      <c r="G22" s="39">
        <v>6113138.5347515102</v>
      </c>
      <c r="H22" s="11" t="s">
        <v>120</v>
      </c>
      <c r="I22" s="11" t="s">
        <v>122</v>
      </c>
      <c r="K22" s="11" t="s">
        <v>123</v>
      </c>
      <c r="L22" s="10" t="s">
        <v>95</v>
      </c>
      <c r="M22" s="10" t="s">
        <v>96</v>
      </c>
      <c r="N22" s="21">
        <v>0.9</v>
      </c>
      <c r="O22" s="21">
        <v>32</v>
      </c>
      <c r="P22" s="10" t="s">
        <v>97</v>
      </c>
      <c r="Q22" s="87"/>
      <c r="R22" s="10" t="s">
        <v>97</v>
      </c>
      <c r="S22" s="10" t="s">
        <v>97</v>
      </c>
      <c r="T22" s="87"/>
      <c r="U22" s="21">
        <v>3</v>
      </c>
      <c r="V22" s="10">
        <v>0</v>
      </c>
      <c r="W22" s="21">
        <v>0</v>
      </c>
      <c r="X22" s="10" t="s">
        <v>97</v>
      </c>
      <c r="Y22" s="21">
        <v>2</v>
      </c>
      <c r="Z22" s="21">
        <v>0.9</v>
      </c>
      <c r="AA22" s="10">
        <v>3</v>
      </c>
      <c r="AB22" s="10" t="s">
        <v>97</v>
      </c>
      <c r="AC22" s="10" t="s">
        <v>97</v>
      </c>
      <c r="AD22" s="10" t="s">
        <v>99</v>
      </c>
      <c r="AE22" s="10" t="s">
        <v>109</v>
      </c>
      <c r="AF22" s="20">
        <f t="shared" si="8"/>
        <v>1</v>
      </c>
      <c r="AG22" s="13">
        <f t="shared" si="1"/>
        <v>6</v>
      </c>
      <c r="AH22" s="7">
        <f t="shared" si="2"/>
        <v>10</v>
      </c>
      <c r="AI22" s="7">
        <f t="shared" si="3"/>
        <v>0</v>
      </c>
      <c r="AJ22" s="7">
        <f t="shared" si="4"/>
        <v>5</v>
      </c>
      <c r="AK22" s="7">
        <f t="shared" si="5"/>
        <v>3</v>
      </c>
      <c r="AL22" s="12">
        <f t="shared" si="9"/>
        <v>24</v>
      </c>
      <c r="AM22" s="14" t="str">
        <f t="shared" si="7"/>
        <v>Barrier</v>
      </c>
      <c r="AN22" s="10" t="s">
        <v>140</v>
      </c>
      <c r="AO22" s="21">
        <v>3</v>
      </c>
      <c r="AP22" s="10" t="s">
        <v>177</v>
      </c>
    </row>
    <row r="23" spans="1:42" x14ac:dyDescent="0.25">
      <c r="A23" s="59">
        <v>45194</v>
      </c>
      <c r="C23" s="10">
        <v>8300157</v>
      </c>
      <c r="D23" s="10" t="s">
        <v>105</v>
      </c>
      <c r="E23" s="11">
        <v>9</v>
      </c>
      <c r="F23" s="39">
        <v>562493.60553930502</v>
      </c>
      <c r="G23" s="39">
        <v>6105028.5558879599</v>
      </c>
      <c r="H23" s="11" t="s">
        <v>121</v>
      </c>
      <c r="I23" s="11" t="s">
        <v>122</v>
      </c>
      <c r="K23" s="11" t="s">
        <v>123</v>
      </c>
      <c r="L23" s="10" t="s">
        <v>95</v>
      </c>
      <c r="M23" s="10" t="s">
        <v>124</v>
      </c>
      <c r="N23" s="21">
        <v>4.5</v>
      </c>
      <c r="O23" s="21">
        <v>28</v>
      </c>
      <c r="P23" s="10" t="s">
        <v>97</v>
      </c>
      <c r="Q23" s="87"/>
      <c r="R23" s="10" t="s">
        <v>97</v>
      </c>
      <c r="S23" s="10" t="s">
        <v>97</v>
      </c>
      <c r="T23" s="87"/>
      <c r="U23" s="21">
        <v>4</v>
      </c>
      <c r="V23" s="10">
        <v>2</v>
      </c>
      <c r="W23" s="21">
        <v>0.4</v>
      </c>
      <c r="X23" s="10" t="s">
        <v>98</v>
      </c>
      <c r="Y23" s="21">
        <v>5.5</v>
      </c>
      <c r="Z23" s="21">
        <v>5.8</v>
      </c>
      <c r="AA23" s="10">
        <v>8</v>
      </c>
      <c r="AB23" s="10" t="s">
        <v>97</v>
      </c>
      <c r="AC23" s="10" t="s">
        <v>97</v>
      </c>
      <c r="AD23" s="10" t="s">
        <v>99</v>
      </c>
      <c r="AE23" s="10" t="s">
        <v>100</v>
      </c>
      <c r="AF23" s="20">
        <f t="shared" si="8"/>
        <v>1.2888888888888888</v>
      </c>
      <c r="AG23" s="13">
        <f t="shared" si="1"/>
        <v>3</v>
      </c>
      <c r="AH23" s="7">
        <f t="shared" si="2"/>
        <v>10</v>
      </c>
      <c r="AI23" s="7">
        <f t="shared" si="3"/>
        <v>10</v>
      </c>
      <c r="AJ23" s="7">
        <f t="shared" si="4"/>
        <v>10</v>
      </c>
      <c r="AK23" s="7">
        <f t="shared" si="5"/>
        <v>3</v>
      </c>
      <c r="AL23" s="12">
        <f t="shared" si="9"/>
        <v>36</v>
      </c>
      <c r="AM23" s="14" t="str">
        <f t="shared" si="7"/>
        <v>Barrier</v>
      </c>
      <c r="AN23" s="10" t="s">
        <v>141</v>
      </c>
      <c r="AO23" s="21">
        <v>18</v>
      </c>
      <c r="AP23" s="10" t="s">
        <v>178</v>
      </c>
    </row>
    <row r="24" spans="1:42" ht="30" x14ac:dyDescent="0.25">
      <c r="A24" s="59">
        <v>45194</v>
      </c>
      <c r="C24" s="10">
        <v>8300756</v>
      </c>
      <c r="D24" s="10" t="s">
        <v>92</v>
      </c>
      <c r="E24" s="11">
        <v>9</v>
      </c>
      <c r="F24" s="39">
        <v>585631.43051260198</v>
      </c>
      <c r="G24" s="39">
        <v>6120092.0526728304</v>
      </c>
      <c r="H24" s="11" t="s">
        <v>118</v>
      </c>
      <c r="I24" s="11" t="s">
        <v>122</v>
      </c>
      <c r="K24" s="11" t="s">
        <v>123</v>
      </c>
      <c r="L24" s="10" t="s">
        <v>95</v>
      </c>
      <c r="M24" s="10" t="s">
        <v>96</v>
      </c>
      <c r="N24" s="21">
        <v>1.25</v>
      </c>
      <c r="O24" s="21">
        <v>34</v>
      </c>
      <c r="P24" s="10" t="s">
        <v>97</v>
      </c>
      <c r="Q24" s="87"/>
      <c r="R24" s="10" t="s">
        <v>97</v>
      </c>
      <c r="S24" s="10" t="s">
        <v>97</v>
      </c>
      <c r="T24" s="87"/>
      <c r="U24" s="21">
        <v>6</v>
      </c>
      <c r="V24" s="10">
        <v>0.05</v>
      </c>
      <c r="W24" s="21">
        <v>0.3</v>
      </c>
      <c r="X24" s="10" t="s">
        <v>97</v>
      </c>
      <c r="Y24" s="21">
        <v>0.5</v>
      </c>
      <c r="Z24" s="21">
        <v>2.4</v>
      </c>
      <c r="AA24" s="10">
        <v>2</v>
      </c>
      <c r="AB24" s="10" t="s">
        <v>97</v>
      </c>
      <c r="AC24" s="10" t="s">
        <v>97</v>
      </c>
      <c r="AD24" s="10" t="s">
        <v>99</v>
      </c>
      <c r="AE24" s="10" t="s">
        <v>103</v>
      </c>
      <c r="AF24" s="20">
        <f t="shared" si="8"/>
        <v>1.92</v>
      </c>
      <c r="AG24" s="13">
        <f t="shared" si="1"/>
        <v>6</v>
      </c>
      <c r="AH24" s="7">
        <f t="shared" si="2"/>
        <v>10</v>
      </c>
      <c r="AI24" s="7">
        <f t="shared" si="3"/>
        <v>0</v>
      </c>
      <c r="AJ24" s="7">
        <f t="shared" si="4"/>
        <v>0</v>
      </c>
      <c r="AK24" s="7">
        <f t="shared" si="5"/>
        <v>6</v>
      </c>
      <c r="AL24" s="12">
        <f t="shared" si="9"/>
        <v>22</v>
      </c>
      <c r="AM24" s="14" t="str">
        <f t="shared" si="7"/>
        <v>Barrier</v>
      </c>
      <c r="AN24" s="10" t="s">
        <v>140</v>
      </c>
      <c r="AO24" s="21">
        <v>4.5</v>
      </c>
      <c r="AP24" s="10" t="s">
        <v>179</v>
      </c>
    </row>
    <row r="25" spans="1:42" ht="30" x14ac:dyDescent="0.25">
      <c r="A25" s="59">
        <v>45194</v>
      </c>
      <c r="C25" s="10">
        <v>8300759</v>
      </c>
      <c r="D25" s="10" t="s">
        <v>92</v>
      </c>
      <c r="E25" s="11">
        <v>9</v>
      </c>
      <c r="F25" s="39">
        <v>584964.96026571398</v>
      </c>
      <c r="G25" s="39">
        <v>6118989.2020226596</v>
      </c>
      <c r="H25" s="11" t="s">
        <v>125</v>
      </c>
      <c r="I25" s="11" t="s">
        <v>122</v>
      </c>
      <c r="K25" s="11" t="s">
        <v>123</v>
      </c>
      <c r="L25" s="10" t="s">
        <v>95</v>
      </c>
      <c r="M25" s="10" t="s">
        <v>96</v>
      </c>
      <c r="N25" s="21">
        <v>1.8</v>
      </c>
      <c r="O25" s="21">
        <v>22</v>
      </c>
      <c r="P25" s="10" t="s">
        <v>97</v>
      </c>
      <c r="Q25" s="87"/>
      <c r="R25" s="10" t="s">
        <v>97</v>
      </c>
      <c r="S25" s="10" t="s">
        <v>97</v>
      </c>
      <c r="T25" s="87"/>
      <c r="U25" s="21">
        <v>1.6</v>
      </c>
      <c r="V25" s="10">
        <v>0</v>
      </c>
      <c r="W25" s="21">
        <v>0</v>
      </c>
      <c r="X25" s="10" t="s">
        <v>97</v>
      </c>
      <c r="Y25" s="21">
        <v>0.5</v>
      </c>
      <c r="Z25" s="21">
        <v>2.2999999999999998</v>
      </c>
      <c r="AA25" s="10">
        <v>3.5</v>
      </c>
      <c r="AB25" s="10" t="s">
        <v>97</v>
      </c>
      <c r="AC25" s="10" t="s">
        <v>97</v>
      </c>
      <c r="AD25" s="10" t="s">
        <v>99</v>
      </c>
      <c r="AE25" s="10" t="s">
        <v>103</v>
      </c>
      <c r="AF25" s="20">
        <f t="shared" si="8"/>
        <v>1.2777777777777777</v>
      </c>
      <c r="AG25" s="13">
        <f t="shared" si="1"/>
        <v>3</v>
      </c>
      <c r="AH25" s="7">
        <f t="shared" si="2"/>
        <v>10</v>
      </c>
      <c r="AI25" s="7">
        <f t="shared" si="3"/>
        <v>0</v>
      </c>
      <c r="AJ25" s="7">
        <f t="shared" si="4"/>
        <v>0</v>
      </c>
      <c r="AK25" s="7">
        <f t="shared" si="5"/>
        <v>3</v>
      </c>
      <c r="AL25" s="12">
        <f t="shared" si="9"/>
        <v>16</v>
      </c>
      <c r="AM25" s="14" t="str">
        <f t="shared" si="7"/>
        <v>Potential</v>
      </c>
      <c r="AN25" s="10" t="s">
        <v>141</v>
      </c>
      <c r="AO25" s="21">
        <v>15</v>
      </c>
      <c r="AP25" s="10" t="s">
        <v>180</v>
      </c>
    </row>
    <row r="26" spans="1:42" ht="30" x14ac:dyDescent="0.25">
      <c r="A26" s="59">
        <v>45194</v>
      </c>
      <c r="C26" s="10">
        <v>8300872</v>
      </c>
      <c r="D26" s="10" t="s">
        <v>92</v>
      </c>
      <c r="E26" s="11">
        <v>9</v>
      </c>
      <c r="F26" s="39">
        <v>581258.75024408102</v>
      </c>
      <c r="G26" s="39">
        <v>6115642.11273525</v>
      </c>
      <c r="H26" s="11" t="s">
        <v>126</v>
      </c>
      <c r="I26" s="11" t="s">
        <v>122</v>
      </c>
      <c r="K26" s="11" t="s">
        <v>123</v>
      </c>
      <c r="L26" s="10" t="s">
        <v>95</v>
      </c>
      <c r="M26" s="10" t="s">
        <v>96</v>
      </c>
      <c r="N26" s="21">
        <v>1.5</v>
      </c>
      <c r="O26" s="21">
        <v>20</v>
      </c>
      <c r="P26" s="10" t="s">
        <v>97</v>
      </c>
      <c r="Q26" s="87"/>
      <c r="R26" s="10" t="s">
        <v>97</v>
      </c>
      <c r="S26" s="10" t="s">
        <v>97</v>
      </c>
      <c r="T26" s="87"/>
      <c r="U26" s="21">
        <v>3</v>
      </c>
      <c r="V26" s="10">
        <v>0.4</v>
      </c>
      <c r="W26" s="21">
        <v>0.9</v>
      </c>
      <c r="X26" s="10" t="s">
        <v>97</v>
      </c>
      <c r="Y26" s="21">
        <v>2</v>
      </c>
      <c r="Z26" s="21">
        <v>4.0999999999999996</v>
      </c>
      <c r="AA26" s="10">
        <v>1.5</v>
      </c>
      <c r="AB26" s="10" t="s">
        <v>97</v>
      </c>
      <c r="AC26" s="10" t="s">
        <v>97</v>
      </c>
      <c r="AD26" s="10" t="s">
        <v>99</v>
      </c>
      <c r="AE26" s="10" t="s">
        <v>100</v>
      </c>
      <c r="AF26" s="20">
        <f t="shared" si="8"/>
        <v>2.7333333333333329</v>
      </c>
      <c r="AG26" s="13">
        <f t="shared" si="1"/>
        <v>3</v>
      </c>
      <c r="AH26" s="7">
        <f t="shared" si="2"/>
        <v>10</v>
      </c>
      <c r="AI26" s="7">
        <f t="shared" si="3"/>
        <v>10</v>
      </c>
      <c r="AJ26" s="7">
        <f t="shared" si="4"/>
        <v>5</v>
      </c>
      <c r="AK26" s="7">
        <f t="shared" si="5"/>
        <v>6</v>
      </c>
      <c r="AL26" s="12">
        <f t="shared" si="9"/>
        <v>34</v>
      </c>
      <c r="AM26" s="14" t="str">
        <f t="shared" si="7"/>
        <v>Barrier</v>
      </c>
      <c r="AN26" s="10" t="s">
        <v>141</v>
      </c>
      <c r="AO26" s="21">
        <v>15</v>
      </c>
      <c r="AP26" s="10" t="s">
        <v>181</v>
      </c>
    </row>
    <row r="27" spans="1:42" x14ac:dyDescent="0.25">
      <c r="A27" s="59">
        <v>45194</v>
      </c>
      <c r="C27" s="10">
        <v>8300970</v>
      </c>
      <c r="D27" s="10" t="s">
        <v>92</v>
      </c>
      <c r="E27" s="11">
        <v>9</v>
      </c>
      <c r="F27" s="39">
        <v>569106.44412982196</v>
      </c>
      <c r="G27" s="39">
        <v>6105804.1181504903</v>
      </c>
      <c r="H27" s="11" t="s">
        <v>127</v>
      </c>
      <c r="I27" s="11" t="s">
        <v>122</v>
      </c>
      <c r="K27" s="11" t="s">
        <v>123</v>
      </c>
      <c r="L27" s="10" t="s">
        <v>95</v>
      </c>
      <c r="M27" s="10" t="s">
        <v>96</v>
      </c>
      <c r="N27" s="21">
        <v>1.5</v>
      </c>
      <c r="O27" s="21">
        <v>20</v>
      </c>
      <c r="P27" s="10" t="s">
        <v>97</v>
      </c>
      <c r="Q27" s="87"/>
      <c r="R27" s="10" t="s">
        <v>97</v>
      </c>
      <c r="S27" s="10" t="s">
        <v>97</v>
      </c>
      <c r="T27" s="87"/>
      <c r="U27" s="21">
        <v>1.2</v>
      </c>
      <c r="V27" s="10">
        <v>1.6</v>
      </c>
      <c r="W27" s="21">
        <v>0.5</v>
      </c>
      <c r="X27" s="10" t="s">
        <v>97</v>
      </c>
      <c r="Y27" s="21">
        <v>5</v>
      </c>
      <c r="Z27" s="21">
        <v>3.9</v>
      </c>
      <c r="AA27" s="10">
        <v>7</v>
      </c>
      <c r="AB27" s="10" t="s">
        <v>97</v>
      </c>
      <c r="AC27" s="10" t="s">
        <v>97</v>
      </c>
      <c r="AD27" s="10" t="s">
        <v>99</v>
      </c>
      <c r="AE27" s="10" t="s">
        <v>100</v>
      </c>
      <c r="AF27" s="20">
        <f t="shared" si="8"/>
        <v>2.6</v>
      </c>
      <c r="AG27" s="13">
        <f t="shared" si="1"/>
        <v>3</v>
      </c>
      <c r="AH27" s="7">
        <f t="shared" si="2"/>
        <v>10</v>
      </c>
      <c r="AI27" s="7">
        <f t="shared" si="3"/>
        <v>10</v>
      </c>
      <c r="AJ27" s="7">
        <f t="shared" si="4"/>
        <v>10</v>
      </c>
      <c r="AK27" s="7">
        <f t="shared" si="5"/>
        <v>6</v>
      </c>
      <c r="AL27" s="12">
        <f t="shared" si="9"/>
        <v>39</v>
      </c>
      <c r="AM27" s="14" t="str">
        <f t="shared" si="7"/>
        <v>Barrier</v>
      </c>
      <c r="AN27" s="10" t="s">
        <v>141</v>
      </c>
      <c r="AO27" s="21">
        <v>15</v>
      </c>
      <c r="AP27" s="10" t="s">
        <v>182</v>
      </c>
    </row>
    <row r="28" spans="1:42" x14ac:dyDescent="0.25">
      <c r="A28" s="59">
        <v>45194</v>
      </c>
      <c r="C28" s="10">
        <v>8302868</v>
      </c>
      <c r="D28" s="10" t="s">
        <v>105</v>
      </c>
      <c r="E28" s="11">
        <v>9</v>
      </c>
      <c r="F28" s="39">
        <v>584387.75977133005</v>
      </c>
      <c r="G28" s="39">
        <v>6119506.6074283002</v>
      </c>
      <c r="H28" s="11" t="s">
        <v>115</v>
      </c>
      <c r="I28" s="11" t="s">
        <v>128</v>
      </c>
      <c r="K28" s="11" t="s">
        <v>147</v>
      </c>
      <c r="L28" s="10" t="s">
        <v>95</v>
      </c>
      <c r="M28" s="10" t="s">
        <v>96</v>
      </c>
      <c r="N28" s="21">
        <v>1.7</v>
      </c>
      <c r="O28" s="21">
        <v>75</v>
      </c>
      <c r="P28" s="10" t="s">
        <v>97</v>
      </c>
      <c r="Q28" s="87"/>
      <c r="R28" s="10" t="s">
        <v>97</v>
      </c>
      <c r="S28" s="10" t="s">
        <v>97</v>
      </c>
      <c r="T28" s="87"/>
      <c r="U28" s="21">
        <v>9.9</v>
      </c>
      <c r="V28" s="10">
        <v>1.2</v>
      </c>
      <c r="W28" s="21">
        <v>1</v>
      </c>
      <c r="X28" s="10" t="s">
        <v>98</v>
      </c>
      <c r="Y28" s="21">
        <v>2</v>
      </c>
      <c r="Z28" s="21">
        <v>5</v>
      </c>
      <c r="AA28" s="10">
        <v>2</v>
      </c>
      <c r="AB28" s="10" t="s">
        <v>97</v>
      </c>
      <c r="AC28" s="10" t="s">
        <v>98</v>
      </c>
      <c r="AD28" s="10" t="s">
        <v>99</v>
      </c>
      <c r="AE28" s="10" t="s">
        <v>100</v>
      </c>
      <c r="AF28" s="20">
        <f t="shared" si="8"/>
        <v>2.9411764705882355</v>
      </c>
      <c r="AG28" s="13">
        <f t="shared" si="1"/>
        <v>6</v>
      </c>
      <c r="AH28" s="7">
        <f t="shared" si="2"/>
        <v>10</v>
      </c>
      <c r="AI28" s="7">
        <f t="shared" si="3"/>
        <v>10</v>
      </c>
      <c r="AJ28" s="7">
        <f t="shared" si="4"/>
        <v>5</v>
      </c>
      <c r="AK28" s="7">
        <f t="shared" si="5"/>
        <v>6</v>
      </c>
      <c r="AL28" s="12">
        <f t="shared" si="9"/>
        <v>37</v>
      </c>
      <c r="AM28" s="14" t="str">
        <f t="shared" si="7"/>
        <v>Barrier</v>
      </c>
      <c r="AN28" s="88" t="s">
        <v>141</v>
      </c>
      <c r="AO28" s="89">
        <v>60</v>
      </c>
      <c r="AP28" s="10" t="s">
        <v>199</v>
      </c>
    </row>
    <row r="29" spans="1:42" x14ac:dyDescent="0.25">
      <c r="A29" s="59">
        <v>45194</v>
      </c>
      <c r="C29" s="10">
        <v>8302869</v>
      </c>
      <c r="D29" s="10" t="s">
        <v>105</v>
      </c>
      <c r="E29" s="11">
        <v>9</v>
      </c>
      <c r="F29" s="39">
        <v>580437.94592943904</v>
      </c>
      <c r="G29" s="39">
        <v>6115772.8537167804</v>
      </c>
      <c r="H29" s="11" t="s">
        <v>116</v>
      </c>
      <c r="I29" s="11" t="s">
        <v>128</v>
      </c>
      <c r="K29" s="11" t="s">
        <v>148</v>
      </c>
      <c r="L29" s="10" t="s">
        <v>95</v>
      </c>
      <c r="M29" s="10" t="s">
        <v>129</v>
      </c>
      <c r="N29" s="21">
        <v>1.5</v>
      </c>
      <c r="O29" s="21">
        <v>99</v>
      </c>
      <c r="P29" s="10" t="s">
        <v>97</v>
      </c>
      <c r="Q29" s="87"/>
      <c r="R29" s="10" t="s">
        <v>97</v>
      </c>
      <c r="S29" s="10" t="s">
        <v>97</v>
      </c>
      <c r="T29" s="87"/>
      <c r="U29" s="21">
        <v>9.9</v>
      </c>
      <c r="V29" s="10">
        <v>0.4</v>
      </c>
      <c r="W29" s="21">
        <v>0.35</v>
      </c>
      <c r="X29" s="10" t="s">
        <v>97</v>
      </c>
      <c r="Y29" s="21">
        <v>7</v>
      </c>
      <c r="Z29" s="21">
        <v>4.5</v>
      </c>
      <c r="AA29" s="10">
        <v>10</v>
      </c>
      <c r="AB29" s="10" t="s">
        <v>97</v>
      </c>
      <c r="AC29" s="10" t="s">
        <v>98</v>
      </c>
      <c r="AD29" s="10" t="s">
        <v>99</v>
      </c>
      <c r="AE29" s="10" t="s">
        <v>100</v>
      </c>
      <c r="AF29" s="20">
        <f t="shared" si="8"/>
        <v>3</v>
      </c>
      <c r="AG29" s="13">
        <f t="shared" si="1"/>
        <v>6</v>
      </c>
      <c r="AH29" s="7">
        <f t="shared" si="2"/>
        <v>10</v>
      </c>
      <c r="AI29" s="7">
        <f t="shared" si="3"/>
        <v>10</v>
      </c>
      <c r="AJ29" s="7">
        <f t="shared" si="4"/>
        <v>10</v>
      </c>
      <c r="AK29" s="7">
        <f t="shared" si="5"/>
        <v>6</v>
      </c>
      <c r="AL29" s="12">
        <f t="shared" si="9"/>
        <v>42</v>
      </c>
      <c r="AM29" s="14" t="str">
        <f t="shared" si="7"/>
        <v>Barrier</v>
      </c>
      <c r="AN29" s="88" t="s">
        <v>141</v>
      </c>
      <c r="AO29" s="89">
        <v>96</v>
      </c>
      <c r="AP29" s="10" t="s">
        <v>200</v>
      </c>
    </row>
    <row r="30" spans="1:42" ht="30" x14ac:dyDescent="0.25">
      <c r="A30" s="59">
        <v>45194</v>
      </c>
      <c r="C30" s="10">
        <v>8800020</v>
      </c>
      <c r="D30" s="10" t="s">
        <v>105</v>
      </c>
      <c r="E30" s="11">
        <v>9</v>
      </c>
      <c r="F30" s="39">
        <v>543158.571601187</v>
      </c>
      <c r="G30" s="39">
        <v>6096228.1226202901</v>
      </c>
      <c r="H30" s="11" t="s">
        <v>118</v>
      </c>
      <c r="I30" s="11" t="s">
        <v>152</v>
      </c>
      <c r="K30" s="11" t="s">
        <v>123</v>
      </c>
      <c r="L30" s="10" t="s">
        <v>95</v>
      </c>
      <c r="M30" s="10" t="s">
        <v>96</v>
      </c>
      <c r="N30" s="21">
        <v>1.5</v>
      </c>
      <c r="O30" s="21">
        <v>22</v>
      </c>
      <c r="P30" s="10" t="s">
        <v>97</v>
      </c>
      <c r="Q30" s="87"/>
      <c r="R30" s="10" t="s">
        <v>97</v>
      </c>
      <c r="S30" s="10" t="s">
        <v>97</v>
      </c>
      <c r="T30" s="87"/>
      <c r="U30" s="21">
        <v>4</v>
      </c>
      <c r="V30" s="10">
        <v>0</v>
      </c>
      <c r="W30" s="21">
        <v>0</v>
      </c>
      <c r="X30" s="10" t="s">
        <v>97</v>
      </c>
      <c r="Y30" s="21">
        <v>1</v>
      </c>
      <c r="Z30" s="21">
        <v>1</v>
      </c>
      <c r="AA30" s="10">
        <v>2</v>
      </c>
      <c r="AB30" s="10" t="s">
        <v>97</v>
      </c>
      <c r="AC30" s="10" t="s">
        <v>97</v>
      </c>
      <c r="AD30" s="10" t="s">
        <v>99</v>
      </c>
      <c r="AE30" s="10" t="s">
        <v>109</v>
      </c>
      <c r="AF30" s="20">
        <f t="shared" si="8"/>
        <v>0.66666666666666663</v>
      </c>
      <c r="AG30" s="13">
        <f t="shared" si="1"/>
        <v>3</v>
      </c>
      <c r="AH30" s="7">
        <f t="shared" si="2"/>
        <v>10</v>
      </c>
      <c r="AI30" s="7">
        <f t="shared" si="3"/>
        <v>0</v>
      </c>
      <c r="AJ30" s="7">
        <f t="shared" si="4"/>
        <v>5</v>
      </c>
      <c r="AK30" s="7">
        <f t="shared" si="5"/>
        <v>0</v>
      </c>
      <c r="AL30" s="12">
        <f t="shared" si="9"/>
        <v>18</v>
      </c>
      <c r="AM30" s="14" t="str">
        <f t="shared" si="7"/>
        <v>Potential</v>
      </c>
      <c r="AN30" s="88" t="s">
        <v>140</v>
      </c>
      <c r="AO30" s="89">
        <v>3</v>
      </c>
      <c r="AP30" s="10" t="s">
        <v>201</v>
      </c>
    </row>
    <row r="31" spans="1:42" ht="30" x14ac:dyDescent="0.25">
      <c r="A31" s="59">
        <v>45194</v>
      </c>
      <c r="C31" s="10">
        <v>8800072</v>
      </c>
      <c r="D31" s="10" t="s">
        <v>92</v>
      </c>
      <c r="E31" s="11">
        <v>9</v>
      </c>
      <c r="F31" s="39">
        <v>546999.84664773801</v>
      </c>
      <c r="G31" s="39">
        <v>6100103.7079817904</v>
      </c>
      <c r="H31" s="11" t="s">
        <v>130</v>
      </c>
      <c r="I31" s="11" t="s">
        <v>122</v>
      </c>
      <c r="K31" s="11" t="s">
        <v>123</v>
      </c>
      <c r="L31" s="10" t="s">
        <v>95</v>
      </c>
      <c r="M31" s="10" t="s">
        <v>124</v>
      </c>
      <c r="N31" s="21">
        <v>4.8</v>
      </c>
      <c r="O31" s="21">
        <v>22</v>
      </c>
      <c r="P31" s="10" t="s">
        <v>97</v>
      </c>
      <c r="Q31" s="87"/>
      <c r="R31" s="10" t="s">
        <v>97</v>
      </c>
      <c r="S31" s="10" t="s">
        <v>97</v>
      </c>
      <c r="T31" s="87"/>
      <c r="U31" s="21">
        <v>0.2</v>
      </c>
      <c r="V31" s="10">
        <v>0.8</v>
      </c>
      <c r="W31" s="21">
        <v>0.8</v>
      </c>
      <c r="X31" s="10" t="s">
        <v>97</v>
      </c>
      <c r="Y31" s="21">
        <v>3</v>
      </c>
      <c r="Z31" s="21">
        <v>6.4</v>
      </c>
      <c r="AA31" s="10">
        <v>6.5</v>
      </c>
      <c r="AB31" s="10" t="s">
        <v>97</v>
      </c>
      <c r="AC31" s="10" t="s">
        <v>98</v>
      </c>
      <c r="AD31" s="10" t="s">
        <v>131</v>
      </c>
      <c r="AE31" s="10" t="s">
        <v>103</v>
      </c>
      <c r="AF31" s="20">
        <f t="shared" si="8"/>
        <v>1.3333333333333335</v>
      </c>
      <c r="AG31" s="13">
        <f t="shared" si="1"/>
        <v>3</v>
      </c>
      <c r="AH31" s="7">
        <f t="shared" si="2"/>
        <v>10</v>
      </c>
      <c r="AI31" s="7">
        <f t="shared" si="3"/>
        <v>10</v>
      </c>
      <c r="AJ31" s="7">
        <f t="shared" si="4"/>
        <v>10</v>
      </c>
      <c r="AK31" s="7">
        <f t="shared" si="5"/>
        <v>6</v>
      </c>
      <c r="AL31" s="12">
        <f t="shared" si="9"/>
        <v>39</v>
      </c>
      <c r="AM31" s="14" t="str">
        <f t="shared" si="7"/>
        <v>Barrier</v>
      </c>
      <c r="AN31" s="10" t="s">
        <v>141</v>
      </c>
      <c r="AO31" s="21">
        <v>15</v>
      </c>
      <c r="AP31" s="10" t="s">
        <v>183</v>
      </c>
    </row>
    <row r="32" spans="1:42" x14ac:dyDescent="0.25">
      <c r="A32" s="59">
        <v>45195</v>
      </c>
      <c r="C32" s="10">
        <v>8800026</v>
      </c>
      <c r="D32" s="10" t="s">
        <v>105</v>
      </c>
      <c r="E32" s="11">
        <v>9</v>
      </c>
      <c r="F32" s="39">
        <v>538519.61215016595</v>
      </c>
      <c r="G32" s="39">
        <v>6050845.1220666803</v>
      </c>
      <c r="H32" s="11" t="s">
        <v>132</v>
      </c>
      <c r="I32" s="11" t="s">
        <v>122</v>
      </c>
      <c r="K32" s="11" t="s">
        <v>123</v>
      </c>
      <c r="L32" s="10" t="s">
        <v>95</v>
      </c>
      <c r="M32" s="10" t="s">
        <v>96</v>
      </c>
      <c r="N32" s="21">
        <v>2</v>
      </c>
      <c r="O32" s="21">
        <v>42</v>
      </c>
      <c r="P32" s="10" t="s">
        <v>97</v>
      </c>
      <c r="Q32" s="87"/>
      <c r="R32" s="10" t="s">
        <v>97</v>
      </c>
      <c r="S32" s="10" t="s">
        <v>97</v>
      </c>
      <c r="T32" s="87"/>
      <c r="U32" s="21">
        <v>6</v>
      </c>
      <c r="V32" s="10">
        <v>0.4</v>
      </c>
      <c r="W32" s="21">
        <v>1.2</v>
      </c>
      <c r="X32" s="10" t="s">
        <v>97</v>
      </c>
      <c r="Y32" s="21">
        <v>2.5</v>
      </c>
      <c r="Z32" s="21">
        <v>5.7</v>
      </c>
      <c r="AA32" s="10">
        <v>1</v>
      </c>
      <c r="AB32" s="10" t="s">
        <v>97</v>
      </c>
      <c r="AC32" s="10" t="s">
        <v>98</v>
      </c>
      <c r="AD32" s="10" t="s">
        <v>99</v>
      </c>
      <c r="AE32" s="10" t="s">
        <v>100</v>
      </c>
      <c r="AF32" s="20">
        <f t="shared" si="8"/>
        <v>2.85</v>
      </c>
      <c r="AG32" s="13">
        <f t="shared" si="1"/>
        <v>6</v>
      </c>
      <c r="AH32" s="7">
        <f t="shared" si="2"/>
        <v>10</v>
      </c>
      <c r="AI32" s="7">
        <f t="shared" si="3"/>
        <v>10</v>
      </c>
      <c r="AJ32" s="7">
        <f t="shared" si="4"/>
        <v>5</v>
      </c>
      <c r="AK32" s="7">
        <f t="shared" si="5"/>
        <v>6</v>
      </c>
      <c r="AL32" s="12">
        <f t="shared" si="9"/>
        <v>37</v>
      </c>
      <c r="AM32" s="14" t="str">
        <f t="shared" si="7"/>
        <v>Barrier</v>
      </c>
      <c r="AN32" s="10" t="s">
        <v>141</v>
      </c>
      <c r="AO32" s="21">
        <v>24</v>
      </c>
      <c r="AP32" s="10" t="s">
        <v>184</v>
      </c>
    </row>
    <row r="33" spans="1:42" x14ac:dyDescent="0.25">
      <c r="A33" s="59">
        <v>45195</v>
      </c>
      <c r="C33" s="10">
        <v>8800047</v>
      </c>
      <c r="D33" s="10" t="s">
        <v>92</v>
      </c>
      <c r="E33" s="11">
        <v>9</v>
      </c>
      <c r="F33" s="39">
        <v>539072.40554450895</v>
      </c>
      <c r="G33" s="39">
        <v>6051828.8384609399</v>
      </c>
      <c r="H33" s="11" t="s">
        <v>132</v>
      </c>
      <c r="I33" s="11" t="s">
        <v>151</v>
      </c>
      <c r="K33" s="11" t="s">
        <v>146</v>
      </c>
      <c r="L33" s="10" t="s">
        <v>95</v>
      </c>
      <c r="M33" s="10" t="s">
        <v>96</v>
      </c>
      <c r="N33" s="21">
        <v>3.1</v>
      </c>
      <c r="O33" s="21">
        <v>22</v>
      </c>
      <c r="P33" s="10" t="s">
        <v>97</v>
      </c>
      <c r="Q33" s="87"/>
      <c r="R33" s="10" t="s">
        <v>97</v>
      </c>
      <c r="S33" s="10" t="s">
        <v>97</v>
      </c>
      <c r="T33" s="87"/>
      <c r="U33" s="21">
        <v>1</v>
      </c>
      <c r="V33" s="10">
        <v>0.2</v>
      </c>
      <c r="W33" s="21">
        <v>0.7</v>
      </c>
      <c r="X33" s="10" t="s">
        <v>97</v>
      </c>
      <c r="Y33" s="21">
        <v>3</v>
      </c>
      <c r="Z33" s="21">
        <v>4.5999999999999996</v>
      </c>
      <c r="AA33" s="10">
        <v>2.5</v>
      </c>
      <c r="AB33" s="10" t="s">
        <v>97</v>
      </c>
      <c r="AC33" s="10" t="s">
        <v>97</v>
      </c>
      <c r="AD33" s="10" t="s">
        <v>99</v>
      </c>
      <c r="AE33" s="10" t="s">
        <v>100</v>
      </c>
      <c r="AF33" s="20">
        <f t="shared" si="8"/>
        <v>1.4838709677419353</v>
      </c>
      <c r="AG33" s="13">
        <f t="shared" si="1"/>
        <v>3</v>
      </c>
      <c r="AH33" s="7">
        <f t="shared" si="2"/>
        <v>10</v>
      </c>
      <c r="AI33" s="7">
        <f t="shared" si="3"/>
        <v>5</v>
      </c>
      <c r="AJ33" s="7">
        <f t="shared" si="4"/>
        <v>10</v>
      </c>
      <c r="AK33" s="7">
        <f t="shared" si="5"/>
        <v>6</v>
      </c>
      <c r="AL33" s="12">
        <f t="shared" si="9"/>
        <v>34</v>
      </c>
      <c r="AM33" s="14" t="str">
        <f t="shared" si="7"/>
        <v>Barrier</v>
      </c>
      <c r="AN33" s="10" t="s">
        <v>141</v>
      </c>
      <c r="AO33" s="21">
        <v>15</v>
      </c>
      <c r="AP33" s="10" t="s">
        <v>185</v>
      </c>
    </row>
    <row r="34" spans="1:42" x14ac:dyDescent="0.25">
      <c r="A34" s="59">
        <v>45195</v>
      </c>
      <c r="C34" s="10">
        <v>8800056</v>
      </c>
      <c r="D34" s="10" t="s">
        <v>92</v>
      </c>
      <c r="E34" s="11">
        <v>9</v>
      </c>
      <c r="F34" s="39">
        <v>537939.785510874</v>
      </c>
      <c r="G34" s="39">
        <v>6048485.0583103905</v>
      </c>
      <c r="H34" s="11" t="s">
        <v>133</v>
      </c>
      <c r="I34" s="11" t="s">
        <v>122</v>
      </c>
      <c r="K34" s="11" t="s">
        <v>123</v>
      </c>
      <c r="L34" s="10" t="s">
        <v>95</v>
      </c>
      <c r="M34" s="10" t="s">
        <v>96</v>
      </c>
      <c r="N34" s="21">
        <v>1</v>
      </c>
      <c r="O34" s="21">
        <v>24</v>
      </c>
      <c r="P34" s="10" t="s">
        <v>97</v>
      </c>
      <c r="Q34" s="87"/>
      <c r="R34" s="10" t="s">
        <v>97</v>
      </c>
      <c r="S34" s="10" t="s">
        <v>97</v>
      </c>
      <c r="T34" s="87"/>
      <c r="U34" s="21">
        <v>5</v>
      </c>
      <c r="V34" s="10">
        <v>1.6</v>
      </c>
      <c r="W34" s="21">
        <v>0.5</v>
      </c>
      <c r="X34" s="10" t="s">
        <v>97</v>
      </c>
      <c r="Y34" s="21">
        <v>4</v>
      </c>
      <c r="Z34" s="21">
        <v>2.1</v>
      </c>
      <c r="AA34" s="10">
        <v>5</v>
      </c>
      <c r="AB34" s="10" t="s">
        <v>97</v>
      </c>
      <c r="AC34" s="10" t="s">
        <v>97</v>
      </c>
      <c r="AD34" s="10" t="s">
        <v>99</v>
      </c>
      <c r="AE34" s="10" t="s">
        <v>103</v>
      </c>
      <c r="AF34" s="20">
        <f t="shared" si="8"/>
        <v>2.1</v>
      </c>
      <c r="AG34" s="13">
        <f t="shared" si="1"/>
        <v>3</v>
      </c>
      <c r="AH34" s="7">
        <f t="shared" si="2"/>
        <v>10</v>
      </c>
      <c r="AI34" s="7">
        <f t="shared" si="3"/>
        <v>10</v>
      </c>
      <c r="AJ34" s="7">
        <f t="shared" si="4"/>
        <v>10</v>
      </c>
      <c r="AK34" s="7">
        <f t="shared" si="5"/>
        <v>6</v>
      </c>
      <c r="AL34" s="12">
        <f t="shared" si="9"/>
        <v>39</v>
      </c>
      <c r="AM34" s="14" t="str">
        <f t="shared" si="7"/>
        <v>Barrier</v>
      </c>
      <c r="AN34" s="10" t="s">
        <v>141</v>
      </c>
      <c r="AO34" s="21">
        <v>21</v>
      </c>
      <c r="AP34" s="10" t="s">
        <v>186</v>
      </c>
    </row>
    <row r="35" spans="1:42" x14ac:dyDescent="0.25">
      <c r="A35" s="59">
        <v>45195</v>
      </c>
      <c r="C35" s="10">
        <v>8800070</v>
      </c>
      <c r="D35" s="10" t="s">
        <v>105</v>
      </c>
      <c r="E35" s="11">
        <v>9</v>
      </c>
      <c r="F35" s="39">
        <v>536437.370765956</v>
      </c>
      <c r="G35" s="39">
        <v>6046472.9626003401</v>
      </c>
      <c r="H35" s="11" t="s">
        <v>134</v>
      </c>
      <c r="I35" s="11" t="s">
        <v>122</v>
      </c>
      <c r="K35" s="11" t="s">
        <v>123</v>
      </c>
      <c r="L35" s="10" t="s">
        <v>95</v>
      </c>
      <c r="M35" s="10" t="s">
        <v>96</v>
      </c>
      <c r="N35" s="21">
        <v>2.5</v>
      </c>
      <c r="O35" s="21">
        <v>24</v>
      </c>
      <c r="P35" s="10" t="s">
        <v>97</v>
      </c>
      <c r="Q35" s="87"/>
      <c r="R35" s="10" t="s">
        <v>97</v>
      </c>
      <c r="S35" s="10" t="s">
        <v>97</v>
      </c>
      <c r="T35" s="87"/>
      <c r="U35" s="21">
        <v>1</v>
      </c>
      <c r="V35" s="10">
        <v>1.6</v>
      </c>
      <c r="W35" s="21">
        <v>1.4</v>
      </c>
      <c r="X35" s="10" t="s">
        <v>98</v>
      </c>
      <c r="Y35" s="21">
        <v>1.5</v>
      </c>
      <c r="Z35" s="21">
        <v>5.6</v>
      </c>
      <c r="AA35" s="10">
        <v>6.5</v>
      </c>
      <c r="AB35" s="10" t="s">
        <v>97</v>
      </c>
      <c r="AC35" s="10" t="s">
        <v>97</v>
      </c>
      <c r="AD35" s="10" t="s">
        <v>99</v>
      </c>
      <c r="AE35" s="10" t="s">
        <v>100</v>
      </c>
      <c r="AF35" s="20">
        <f t="shared" si="8"/>
        <v>2.2399999999999998</v>
      </c>
      <c r="AG35" s="13">
        <f t="shared" si="1"/>
        <v>3</v>
      </c>
      <c r="AH35" s="7">
        <f t="shared" si="2"/>
        <v>10</v>
      </c>
      <c r="AI35" s="7">
        <f t="shared" si="3"/>
        <v>10</v>
      </c>
      <c r="AJ35" s="7">
        <f t="shared" si="4"/>
        <v>5</v>
      </c>
      <c r="AK35" s="7">
        <f t="shared" si="5"/>
        <v>6</v>
      </c>
      <c r="AL35" s="12">
        <f t="shared" si="9"/>
        <v>34</v>
      </c>
      <c r="AM35" s="14" t="str">
        <f t="shared" si="7"/>
        <v>Barrier</v>
      </c>
      <c r="AN35" s="88" t="s">
        <v>141</v>
      </c>
      <c r="AO35" s="89">
        <v>15</v>
      </c>
      <c r="AP35" s="10" t="s">
        <v>202</v>
      </c>
    </row>
    <row r="36" spans="1:42" x14ac:dyDescent="0.25">
      <c r="A36" s="59">
        <v>45195</v>
      </c>
      <c r="C36" s="10">
        <v>8800076</v>
      </c>
      <c r="D36" s="10" t="s">
        <v>92</v>
      </c>
      <c r="E36" s="11">
        <v>9</v>
      </c>
      <c r="F36" s="39">
        <v>538963.86758129997</v>
      </c>
      <c r="G36" s="39">
        <v>6089976.4771021605</v>
      </c>
      <c r="H36" s="11" t="s">
        <v>135</v>
      </c>
      <c r="I36" s="11" t="s">
        <v>122</v>
      </c>
      <c r="K36" s="11" t="s">
        <v>123</v>
      </c>
      <c r="L36" s="10" t="s">
        <v>95</v>
      </c>
      <c r="M36" s="10" t="s">
        <v>96</v>
      </c>
      <c r="N36" s="21">
        <v>5</v>
      </c>
      <c r="O36" s="21">
        <v>34</v>
      </c>
      <c r="P36" s="10" t="s">
        <v>97</v>
      </c>
      <c r="Q36" s="87"/>
      <c r="R36" s="10" t="s">
        <v>97</v>
      </c>
      <c r="S36" s="10" t="s">
        <v>97</v>
      </c>
      <c r="T36" s="87"/>
      <c r="U36" s="21">
        <v>8</v>
      </c>
      <c r="V36" s="10">
        <v>0</v>
      </c>
      <c r="W36" s="21">
        <v>0.3</v>
      </c>
      <c r="X36" s="10" t="s">
        <v>97</v>
      </c>
      <c r="Y36" s="21">
        <v>6</v>
      </c>
      <c r="Z36" s="21">
        <v>6.8</v>
      </c>
      <c r="AA36" s="10">
        <v>5</v>
      </c>
      <c r="AB36" s="10" t="s">
        <v>97</v>
      </c>
      <c r="AC36" s="10" t="s">
        <v>97</v>
      </c>
      <c r="AD36" s="10" t="s">
        <v>99</v>
      </c>
      <c r="AE36" s="10" t="s">
        <v>100</v>
      </c>
      <c r="AF36" s="20">
        <f t="shared" si="8"/>
        <v>1.3599999999999999</v>
      </c>
      <c r="AG36" s="13">
        <f t="shared" si="1"/>
        <v>6</v>
      </c>
      <c r="AH36" s="7">
        <f t="shared" si="2"/>
        <v>10</v>
      </c>
      <c r="AI36" s="7">
        <f t="shared" si="3"/>
        <v>0</v>
      </c>
      <c r="AJ36" s="7">
        <f t="shared" si="4"/>
        <v>10</v>
      </c>
      <c r="AK36" s="7">
        <f t="shared" si="5"/>
        <v>6</v>
      </c>
      <c r="AL36" s="12">
        <f t="shared" si="9"/>
        <v>32</v>
      </c>
      <c r="AM36" s="14" t="str">
        <f t="shared" si="7"/>
        <v>Barrier</v>
      </c>
      <c r="AN36" s="10" t="s">
        <v>141</v>
      </c>
      <c r="AO36" s="21">
        <v>30</v>
      </c>
      <c r="AP36" s="10" t="s">
        <v>187</v>
      </c>
    </row>
    <row r="37" spans="1:42" ht="30" x14ac:dyDescent="0.25">
      <c r="A37" s="59">
        <v>45195</v>
      </c>
      <c r="C37" s="10">
        <v>8800130</v>
      </c>
      <c r="D37" s="10" t="s">
        <v>92</v>
      </c>
      <c r="E37" s="11">
        <v>9</v>
      </c>
      <c r="F37" s="39">
        <v>541520.35971829097</v>
      </c>
      <c r="G37" s="39">
        <v>6058092.0828645704</v>
      </c>
      <c r="H37" s="11" t="s">
        <v>118</v>
      </c>
      <c r="I37" s="11" t="s">
        <v>122</v>
      </c>
      <c r="K37" s="11" t="s">
        <v>123</v>
      </c>
      <c r="L37" s="10" t="s">
        <v>95</v>
      </c>
      <c r="M37" s="10" t="s">
        <v>96</v>
      </c>
      <c r="N37" s="21">
        <v>0.9</v>
      </c>
      <c r="O37" s="21">
        <v>42</v>
      </c>
      <c r="P37" s="10" t="s">
        <v>97</v>
      </c>
      <c r="Q37" s="87"/>
      <c r="R37" s="10" t="s">
        <v>97</v>
      </c>
      <c r="S37" s="10" t="s">
        <v>97</v>
      </c>
      <c r="T37" s="87"/>
      <c r="U37" s="21">
        <v>8</v>
      </c>
      <c r="V37" s="10">
        <v>1</v>
      </c>
      <c r="W37" s="21">
        <v>0</v>
      </c>
      <c r="X37" s="10" t="s">
        <v>98</v>
      </c>
      <c r="Y37" s="21">
        <v>1</v>
      </c>
      <c r="Z37" s="21">
        <v>1.6</v>
      </c>
      <c r="AA37" s="10">
        <v>1</v>
      </c>
      <c r="AB37" s="10" t="s">
        <v>97</v>
      </c>
      <c r="AC37" s="10" t="s">
        <v>97</v>
      </c>
      <c r="AD37" s="10" t="s">
        <v>99</v>
      </c>
      <c r="AE37" s="10" t="s">
        <v>109</v>
      </c>
      <c r="AF37" s="20">
        <f t="shared" si="8"/>
        <v>1.7777777777777779</v>
      </c>
      <c r="AG37" s="13">
        <f t="shared" si="1"/>
        <v>6</v>
      </c>
      <c r="AH37" s="7">
        <f t="shared" si="2"/>
        <v>10</v>
      </c>
      <c r="AI37" s="7">
        <f t="shared" si="3"/>
        <v>10</v>
      </c>
      <c r="AJ37" s="7">
        <f t="shared" si="4"/>
        <v>5</v>
      </c>
      <c r="AK37" s="7">
        <f t="shared" si="5"/>
        <v>6</v>
      </c>
      <c r="AL37" s="12">
        <f t="shared" si="9"/>
        <v>37</v>
      </c>
      <c r="AM37" s="14" t="str">
        <f t="shared" si="7"/>
        <v>Barrier</v>
      </c>
      <c r="AN37" s="10" t="s">
        <v>140</v>
      </c>
      <c r="AO37" s="21">
        <v>3</v>
      </c>
      <c r="AP37" s="10" t="s">
        <v>188</v>
      </c>
    </row>
    <row r="38" spans="1:42" ht="30" x14ac:dyDescent="0.25">
      <c r="A38" s="59">
        <v>45195</v>
      </c>
      <c r="C38" s="10">
        <v>8800140</v>
      </c>
      <c r="D38" s="10" t="s">
        <v>105</v>
      </c>
      <c r="E38" s="11">
        <v>9</v>
      </c>
      <c r="F38" s="39">
        <v>545410.03237717797</v>
      </c>
      <c r="G38" s="39">
        <v>6075545.9663461102</v>
      </c>
      <c r="H38" s="11" t="s">
        <v>130</v>
      </c>
      <c r="I38" s="11" t="s">
        <v>122</v>
      </c>
      <c r="K38" s="11" t="s">
        <v>123</v>
      </c>
      <c r="L38" s="10" t="s">
        <v>95</v>
      </c>
      <c r="M38" s="10" t="s">
        <v>96</v>
      </c>
      <c r="N38" s="21">
        <v>1.5</v>
      </c>
      <c r="O38" s="21">
        <v>24</v>
      </c>
      <c r="P38" s="10" t="s">
        <v>97</v>
      </c>
      <c r="Q38" s="87"/>
      <c r="R38" s="10" t="s">
        <v>97</v>
      </c>
      <c r="S38" s="10" t="s">
        <v>97</v>
      </c>
      <c r="T38" s="87"/>
      <c r="U38" s="21">
        <v>1.7</v>
      </c>
      <c r="V38" s="10">
        <v>0</v>
      </c>
      <c r="W38" s="21">
        <v>0</v>
      </c>
      <c r="X38" s="10" t="s">
        <v>97</v>
      </c>
      <c r="Y38" s="21">
        <v>0</v>
      </c>
      <c r="Z38" s="21">
        <v>8</v>
      </c>
      <c r="AA38" s="10">
        <v>0</v>
      </c>
      <c r="AB38" s="10" t="s">
        <v>98</v>
      </c>
      <c r="AC38" s="10" t="s">
        <v>97</v>
      </c>
      <c r="AD38" s="10" t="s">
        <v>99</v>
      </c>
      <c r="AE38" s="10" t="s">
        <v>109</v>
      </c>
      <c r="AF38" s="20">
        <f t="shared" si="8"/>
        <v>5.333333333333333</v>
      </c>
      <c r="AG38" s="13">
        <f t="shared" si="1"/>
        <v>3</v>
      </c>
      <c r="AH38" s="7">
        <f t="shared" si="2"/>
        <v>10</v>
      </c>
      <c r="AI38" s="7">
        <f t="shared" si="3"/>
        <v>0</v>
      </c>
      <c r="AJ38" s="7">
        <f t="shared" si="4"/>
        <v>0</v>
      </c>
      <c r="AK38" s="7">
        <f t="shared" si="5"/>
        <v>6</v>
      </c>
      <c r="AL38" s="12">
        <f t="shared" si="9"/>
        <v>19</v>
      </c>
      <c r="AM38" s="14" t="str">
        <f t="shared" si="7"/>
        <v>Potential</v>
      </c>
      <c r="AN38" s="88" t="s">
        <v>141</v>
      </c>
      <c r="AO38" s="89">
        <v>15</v>
      </c>
      <c r="AP38" s="10" t="s">
        <v>203</v>
      </c>
    </row>
    <row r="39" spans="1:42" ht="30" x14ac:dyDescent="0.25">
      <c r="A39" s="59">
        <v>45195</v>
      </c>
      <c r="C39" s="10">
        <v>8800144</v>
      </c>
      <c r="D39" s="10" t="s">
        <v>92</v>
      </c>
      <c r="E39" s="11">
        <v>9</v>
      </c>
      <c r="F39" s="39">
        <v>542400.74199158198</v>
      </c>
      <c r="G39" s="39">
        <v>6078903.6098027704</v>
      </c>
      <c r="H39" s="11" t="s">
        <v>118</v>
      </c>
      <c r="I39" s="11" t="s">
        <v>122</v>
      </c>
      <c r="K39" s="11" t="s">
        <v>123</v>
      </c>
      <c r="L39" s="10" t="s">
        <v>95</v>
      </c>
      <c r="M39" s="10" t="s">
        <v>96</v>
      </c>
      <c r="N39" s="21">
        <v>0.6</v>
      </c>
      <c r="O39" s="21">
        <v>18</v>
      </c>
      <c r="P39" s="10" t="s">
        <v>97</v>
      </c>
      <c r="Q39" s="87"/>
      <c r="R39" s="10" t="s">
        <v>97</v>
      </c>
      <c r="S39" s="10" t="s">
        <v>97</v>
      </c>
      <c r="T39" s="87"/>
      <c r="U39" s="21">
        <v>1</v>
      </c>
      <c r="V39" s="10">
        <v>0</v>
      </c>
      <c r="W39" s="21">
        <v>0</v>
      </c>
      <c r="X39" s="10" t="s">
        <v>97</v>
      </c>
      <c r="Y39" s="21">
        <v>2</v>
      </c>
      <c r="Z39" s="21">
        <v>0.6</v>
      </c>
      <c r="AA39" s="10">
        <v>2</v>
      </c>
      <c r="AB39" s="10" t="s">
        <v>97</v>
      </c>
      <c r="AC39" s="10" t="s">
        <v>97</v>
      </c>
      <c r="AD39" s="10" t="s">
        <v>99</v>
      </c>
      <c r="AE39" s="10" t="s">
        <v>109</v>
      </c>
      <c r="AF39" s="20">
        <f t="shared" si="8"/>
        <v>1</v>
      </c>
      <c r="AG39" s="13">
        <f t="shared" si="1"/>
        <v>3</v>
      </c>
      <c r="AH39" s="7">
        <f t="shared" si="2"/>
        <v>10</v>
      </c>
      <c r="AI39" s="7">
        <f t="shared" si="3"/>
        <v>0</v>
      </c>
      <c r="AJ39" s="7">
        <f t="shared" si="4"/>
        <v>5</v>
      </c>
      <c r="AK39" s="7">
        <f t="shared" si="5"/>
        <v>3</v>
      </c>
      <c r="AL39" s="12">
        <f t="shared" si="9"/>
        <v>21</v>
      </c>
      <c r="AM39" s="14" t="str">
        <f t="shared" si="7"/>
        <v>Barrier</v>
      </c>
      <c r="AN39" s="10" t="s">
        <v>140</v>
      </c>
      <c r="AO39" s="21">
        <v>3</v>
      </c>
      <c r="AP39" s="10" t="s">
        <v>189</v>
      </c>
    </row>
    <row r="40" spans="1:42" ht="30" x14ac:dyDescent="0.25">
      <c r="A40" s="59">
        <v>45195</v>
      </c>
      <c r="C40" s="10">
        <v>8800149</v>
      </c>
      <c r="D40" s="10" t="s">
        <v>105</v>
      </c>
      <c r="E40" s="11">
        <v>9</v>
      </c>
      <c r="F40" s="39">
        <v>539718.69604162301</v>
      </c>
      <c r="G40" s="39">
        <v>6083273.5060739098</v>
      </c>
      <c r="H40" s="11" t="s">
        <v>118</v>
      </c>
      <c r="I40" s="11" t="s">
        <v>122</v>
      </c>
      <c r="K40" s="11" t="s">
        <v>123</v>
      </c>
      <c r="L40" s="10" t="s">
        <v>95</v>
      </c>
      <c r="M40" s="10" t="s">
        <v>96</v>
      </c>
      <c r="N40" s="21">
        <v>3.5</v>
      </c>
      <c r="O40" s="21">
        <v>35</v>
      </c>
      <c r="P40" s="10" t="s">
        <v>97</v>
      </c>
      <c r="Q40" s="87"/>
      <c r="R40" s="10" t="s">
        <v>97</v>
      </c>
      <c r="S40" s="10" t="s">
        <v>97</v>
      </c>
      <c r="T40" s="87"/>
      <c r="U40" s="21">
        <v>4</v>
      </c>
      <c r="V40" s="10">
        <v>0</v>
      </c>
      <c r="W40" s="21">
        <v>1.4</v>
      </c>
      <c r="X40" s="10" t="s">
        <v>97</v>
      </c>
      <c r="Y40" s="21">
        <v>14</v>
      </c>
      <c r="Z40" s="21">
        <v>10</v>
      </c>
      <c r="AA40" s="10">
        <v>10</v>
      </c>
      <c r="AB40" s="10" t="s">
        <v>97</v>
      </c>
      <c r="AC40" s="10" t="s">
        <v>97</v>
      </c>
      <c r="AD40" s="10" t="s">
        <v>136</v>
      </c>
      <c r="AE40" s="10" t="s">
        <v>103</v>
      </c>
      <c r="AF40" s="20">
        <f t="shared" si="8"/>
        <v>2.8571428571428572</v>
      </c>
      <c r="AG40" s="13">
        <f t="shared" si="1"/>
        <v>6</v>
      </c>
      <c r="AH40" s="7">
        <f t="shared" si="2"/>
        <v>10</v>
      </c>
      <c r="AI40" s="7">
        <f t="shared" si="3"/>
        <v>0</v>
      </c>
      <c r="AJ40" s="7">
        <f t="shared" si="4"/>
        <v>10</v>
      </c>
      <c r="AK40" s="7">
        <f t="shared" si="5"/>
        <v>6</v>
      </c>
      <c r="AL40" s="12">
        <f t="shared" si="9"/>
        <v>32</v>
      </c>
      <c r="AM40" s="14" t="str">
        <f t="shared" si="7"/>
        <v>Barrier</v>
      </c>
      <c r="AN40" s="88" t="s">
        <v>141</v>
      </c>
      <c r="AO40" s="89">
        <v>18</v>
      </c>
      <c r="AP40" s="10" t="s">
        <v>204</v>
      </c>
    </row>
    <row r="41" spans="1:42" ht="30" x14ac:dyDescent="0.25">
      <c r="A41" s="59">
        <v>45195</v>
      </c>
      <c r="C41" s="10">
        <v>8801343</v>
      </c>
      <c r="D41" s="10" t="s">
        <v>105</v>
      </c>
      <c r="E41" s="11">
        <v>9</v>
      </c>
      <c r="F41" s="39">
        <v>547457.70202116203</v>
      </c>
      <c r="G41" s="39">
        <v>6066323.3187438799</v>
      </c>
      <c r="H41" s="11" t="s">
        <v>118</v>
      </c>
      <c r="I41" s="11" t="s">
        <v>122</v>
      </c>
      <c r="K41" s="11" t="s">
        <v>123</v>
      </c>
      <c r="L41" s="10" t="s">
        <v>95</v>
      </c>
      <c r="M41" s="10" t="s">
        <v>96</v>
      </c>
      <c r="N41" s="21">
        <v>0.6</v>
      </c>
      <c r="O41" s="21">
        <v>20</v>
      </c>
      <c r="P41" s="10" t="s">
        <v>98</v>
      </c>
      <c r="Q41" s="21">
        <v>0.2</v>
      </c>
      <c r="R41" s="10" t="s">
        <v>98</v>
      </c>
      <c r="S41" s="10" t="s">
        <v>98</v>
      </c>
      <c r="T41" s="21">
        <v>50</v>
      </c>
      <c r="U41" s="21">
        <v>1.5</v>
      </c>
      <c r="V41" s="10">
        <v>0</v>
      </c>
      <c r="W41" s="21">
        <v>0.25</v>
      </c>
      <c r="X41" s="10" t="s">
        <v>98</v>
      </c>
      <c r="Y41" s="21">
        <v>1</v>
      </c>
      <c r="Z41" s="21">
        <v>1.7</v>
      </c>
      <c r="AA41" s="10">
        <v>1</v>
      </c>
      <c r="AB41" s="10" t="s">
        <v>98</v>
      </c>
      <c r="AC41" s="10" t="s">
        <v>97</v>
      </c>
      <c r="AD41" s="10" t="s">
        <v>99</v>
      </c>
      <c r="AE41" s="10" t="s">
        <v>109</v>
      </c>
      <c r="AF41" s="20">
        <f t="shared" si="8"/>
        <v>2.8333333333333335</v>
      </c>
      <c r="AG41" s="13">
        <f t="shared" si="1"/>
        <v>3</v>
      </c>
      <c r="AH41" s="7">
        <f t="shared" si="2"/>
        <v>5</v>
      </c>
      <c r="AI41" s="7">
        <f t="shared" si="3"/>
        <v>0</v>
      </c>
      <c r="AJ41" s="7">
        <f t="shared" si="4"/>
        <v>5</v>
      </c>
      <c r="AK41" s="7">
        <f t="shared" si="5"/>
        <v>6</v>
      </c>
      <c r="AL41" s="12">
        <f t="shared" si="9"/>
        <v>19</v>
      </c>
      <c r="AM41" s="14" t="str">
        <f t="shared" si="7"/>
        <v>Potential</v>
      </c>
      <c r="AN41" s="88" t="s">
        <v>140</v>
      </c>
      <c r="AO41" s="89">
        <v>3</v>
      </c>
      <c r="AP41" s="10" t="s">
        <v>205</v>
      </c>
    </row>
    <row r="42" spans="1:42" ht="30" x14ac:dyDescent="0.25">
      <c r="A42" s="59">
        <v>45195</v>
      </c>
      <c r="C42" s="10">
        <v>8801347</v>
      </c>
      <c r="D42" s="10" t="s">
        <v>105</v>
      </c>
      <c r="E42" s="11">
        <v>9</v>
      </c>
      <c r="F42" s="39">
        <v>547254.82015673001</v>
      </c>
      <c r="G42" s="39">
        <v>6066044.8046321096</v>
      </c>
      <c r="H42" s="11" t="s">
        <v>118</v>
      </c>
      <c r="I42" s="11" t="s">
        <v>122</v>
      </c>
      <c r="K42" s="11" t="s">
        <v>123</v>
      </c>
      <c r="L42" s="10" t="s">
        <v>95</v>
      </c>
      <c r="M42" s="10" t="s">
        <v>96</v>
      </c>
      <c r="N42" s="21">
        <v>1</v>
      </c>
      <c r="O42" s="21">
        <v>27</v>
      </c>
      <c r="P42" s="10" t="s">
        <v>98</v>
      </c>
      <c r="Q42" s="21">
        <v>0.4</v>
      </c>
      <c r="R42" s="10" t="s">
        <v>98</v>
      </c>
      <c r="S42" s="10" t="s">
        <v>98</v>
      </c>
      <c r="T42" s="21">
        <v>70</v>
      </c>
      <c r="U42" s="21">
        <v>3.7</v>
      </c>
      <c r="V42" s="10">
        <v>0</v>
      </c>
      <c r="W42" s="21">
        <v>0.25</v>
      </c>
      <c r="X42" s="10" t="s">
        <v>98</v>
      </c>
      <c r="Y42" s="21">
        <v>1.5</v>
      </c>
      <c r="Z42" s="21">
        <v>2.8</v>
      </c>
      <c r="AA42" s="10">
        <v>2</v>
      </c>
      <c r="AB42" s="10" t="s">
        <v>98</v>
      </c>
      <c r="AC42" s="10" t="s">
        <v>98</v>
      </c>
      <c r="AD42" s="10" t="s">
        <v>99</v>
      </c>
      <c r="AE42" s="10" t="s">
        <v>103</v>
      </c>
      <c r="AF42" s="20">
        <f t="shared" si="8"/>
        <v>2.8</v>
      </c>
      <c r="AG42" s="13">
        <f t="shared" si="1"/>
        <v>3</v>
      </c>
      <c r="AH42" s="7">
        <f t="shared" si="2"/>
        <v>0</v>
      </c>
      <c r="AI42" s="7">
        <f t="shared" si="3"/>
        <v>0</v>
      </c>
      <c r="AJ42" s="7">
        <f t="shared" si="4"/>
        <v>5</v>
      </c>
      <c r="AK42" s="7">
        <f t="shared" si="5"/>
        <v>6</v>
      </c>
      <c r="AL42" s="12">
        <f t="shared" si="9"/>
        <v>14</v>
      </c>
      <c r="AM42" s="14" t="str">
        <f t="shared" si="7"/>
        <v>Passable</v>
      </c>
      <c r="AP42" s="10" t="s">
        <v>190</v>
      </c>
    </row>
    <row r="43" spans="1:42" ht="30" x14ac:dyDescent="0.25">
      <c r="A43" s="59">
        <v>45195</v>
      </c>
      <c r="C43" s="10">
        <v>8801379</v>
      </c>
      <c r="D43" s="10" t="s">
        <v>92</v>
      </c>
      <c r="E43" s="11">
        <v>9</v>
      </c>
      <c r="F43" s="39">
        <v>538709.22047036595</v>
      </c>
      <c r="G43" s="39">
        <v>6054565.8142962502</v>
      </c>
      <c r="H43" s="11" t="s">
        <v>118</v>
      </c>
      <c r="I43" s="11" t="s">
        <v>122</v>
      </c>
      <c r="K43" s="11" t="s">
        <v>123</v>
      </c>
      <c r="L43" s="10" t="s">
        <v>95</v>
      </c>
      <c r="M43" s="10" t="s">
        <v>96</v>
      </c>
      <c r="N43" s="21">
        <v>1.5</v>
      </c>
      <c r="O43" s="21">
        <v>30</v>
      </c>
      <c r="P43" s="10" t="s">
        <v>97</v>
      </c>
      <c r="Q43" s="87"/>
      <c r="R43" s="10" t="s">
        <v>97</v>
      </c>
      <c r="S43" s="10" t="s">
        <v>97</v>
      </c>
      <c r="T43" s="87"/>
      <c r="U43" s="21">
        <v>4</v>
      </c>
      <c r="V43" s="10">
        <v>0.2</v>
      </c>
      <c r="W43" s="21">
        <v>0</v>
      </c>
      <c r="X43" s="10" t="s">
        <v>97</v>
      </c>
      <c r="Y43" s="21">
        <v>1</v>
      </c>
      <c r="Z43" s="21">
        <v>6.8</v>
      </c>
      <c r="AA43" s="10">
        <v>1</v>
      </c>
      <c r="AB43" s="10" t="s">
        <v>97</v>
      </c>
      <c r="AC43" s="10" t="s">
        <v>97</v>
      </c>
      <c r="AD43" s="10" t="s">
        <v>99</v>
      </c>
      <c r="AE43" s="10" t="s">
        <v>109</v>
      </c>
      <c r="AF43" s="20">
        <f t="shared" si="8"/>
        <v>4.5333333333333332</v>
      </c>
      <c r="AG43" s="13">
        <f t="shared" si="1"/>
        <v>6</v>
      </c>
      <c r="AH43" s="7">
        <f t="shared" si="2"/>
        <v>10</v>
      </c>
      <c r="AI43" s="7">
        <f t="shared" si="3"/>
        <v>5</v>
      </c>
      <c r="AJ43" s="7">
        <f t="shared" si="4"/>
        <v>5</v>
      </c>
      <c r="AK43" s="7">
        <f t="shared" si="5"/>
        <v>6</v>
      </c>
      <c r="AL43" s="12">
        <f t="shared" si="9"/>
        <v>32</v>
      </c>
      <c r="AM43" s="14" t="str">
        <f t="shared" si="7"/>
        <v>Barrier</v>
      </c>
      <c r="AN43" s="10" t="s">
        <v>141</v>
      </c>
      <c r="AO43" s="21">
        <v>18</v>
      </c>
      <c r="AP43" s="10" t="s">
        <v>191</v>
      </c>
    </row>
    <row r="44" spans="1:42" ht="30" x14ac:dyDescent="0.25">
      <c r="A44" s="59">
        <v>45195</v>
      </c>
      <c r="C44" s="10">
        <v>8801406</v>
      </c>
      <c r="D44" s="10" t="s">
        <v>105</v>
      </c>
      <c r="E44" s="11">
        <v>9</v>
      </c>
      <c r="F44" s="39">
        <v>547749.95330914704</v>
      </c>
      <c r="G44" s="39">
        <v>6068487.8932775902</v>
      </c>
      <c r="H44" s="11" t="s">
        <v>130</v>
      </c>
      <c r="I44" s="11" t="s">
        <v>122</v>
      </c>
      <c r="K44" s="11" t="s">
        <v>123</v>
      </c>
      <c r="L44" s="10" t="s">
        <v>95</v>
      </c>
      <c r="M44" s="10" t="s">
        <v>96</v>
      </c>
      <c r="N44" s="21">
        <v>0.9</v>
      </c>
      <c r="O44" s="21">
        <v>21</v>
      </c>
      <c r="P44" s="10" t="s">
        <v>97</v>
      </c>
      <c r="Q44" s="87"/>
      <c r="R44" s="10" t="s">
        <v>97</v>
      </c>
      <c r="S44" s="10" t="s">
        <v>97</v>
      </c>
      <c r="T44" s="87"/>
      <c r="U44" s="21">
        <v>2.5</v>
      </c>
      <c r="V44" s="10">
        <v>0.9</v>
      </c>
      <c r="W44" s="21">
        <v>0.2</v>
      </c>
      <c r="X44" s="10" t="s">
        <v>97</v>
      </c>
      <c r="Y44" s="21">
        <v>8</v>
      </c>
      <c r="Z44" s="21">
        <v>1.5</v>
      </c>
      <c r="AA44" s="10">
        <v>8.5</v>
      </c>
      <c r="AB44" s="10" t="s">
        <v>97</v>
      </c>
      <c r="AC44" s="10" t="s">
        <v>97</v>
      </c>
      <c r="AD44" s="10" t="s">
        <v>99</v>
      </c>
      <c r="AE44" s="10" t="s">
        <v>103</v>
      </c>
      <c r="AF44" s="20">
        <f t="shared" si="8"/>
        <v>1.6666666666666665</v>
      </c>
      <c r="AG44" s="13">
        <f t="shared" si="1"/>
        <v>3</v>
      </c>
      <c r="AH44" s="7">
        <f t="shared" si="2"/>
        <v>10</v>
      </c>
      <c r="AI44" s="7">
        <f t="shared" si="3"/>
        <v>10</v>
      </c>
      <c r="AJ44" s="7">
        <f t="shared" si="4"/>
        <v>10</v>
      </c>
      <c r="AK44" s="7">
        <f t="shared" si="5"/>
        <v>6</v>
      </c>
      <c r="AL44" s="12">
        <f t="shared" si="9"/>
        <v>39</v>
      </c>
      <c r="AM44" s="14" t="str">
        <f t="shared" si="7"/>
        <v>Barrier</v>
      </c>
      <c r="AN44" s="88" t="s">
        <v>140</v>
      </c>
      <c r="AO44" s="89">
        <v>3</v>
      </c>
      <c r="AP44" s="10" t="s">
        <v>206</v>
      </c>
    </row>
    <row r="45" spans="1:42" ht="30" x14ac:dyDescent="0.25">
      <c r="A45" s="59">
        <v>45195</v>
      </c>
      <c r="C45" s="10">
        <v>8801409</v>
      </c>
      <c r="D45" s="10" t="s">
        <v>92</v>
      </c>
      <c r="E45" s="11">
        <v>9</v>
      </c>
      <c r="F45" s="39">
        <v>547610.274893592</v>
      </c>
      <c r="G45" s="39">
        <v>6069808.9912726404</v>
      </c>
      <c r="H45" s="11" t="s">
        <v>118</v>
      </c>
      <c r="I45" s="11" t="s">
        <v>122</v>
      </c>
      <c r="K45" s="11" t="s">
        <v>123</v>
      </c>
      <c r="L45" s="10" t="s">
        <v>95</v>
      </c>
      <c r="M45" s="10" t="s">
        <v>96</v>
      </c>
      <c r="N45" s="21">
        <v>1.5</v>
      </c>
      <c r="O45" s="21">
        <v>40</v>
      </c>
      <c r="P45" s="10" t="s">
        <v>97</v>
      </c>
      <c r="Q45" s="87"/>
      <c r="R45" s="10" t="s">
        <v>97</v>
      </c>
      <c r="S45" s="10" t="s">
        <v>97</v>
      </c>
      <c r="T45" s="87"/>
      <c r="U45" s="21">
        <v>3</v>
      </c>
      <c r="V45" s="10">
        <v>2.2000000000000002</v>
      </c>
      <c r="W45" s="21">
        <v>0.3</v>
      </c>
      <c r="X45" s="10" t="s">
        <v>97</v>
      </c>
      <c r="Y45" s="21">
        <v>4</v>
      </c>
      <c r="Z45" s="21">
        <v>2.7</v>
      </c>
      <c r="AA45" s="10">
        <v>18</v>
      </c>
      <c r="AB45" s="10" t="s">
        <v>97</v>
      </c>
      <c r="AC45" s="10" t="s">
        <v>97</v>
      </c>
      <c r="AD45" s="10" t="s">
        <v>99</v>
      </c>
      <c r="AE45" s="10" t="s">
        <v>103</v>
      </c>
      <c r="AF45" s="20">
        <f t="shared" si="8"/>
        <v>1.8</v>
      </c>
      <c r="AG45" s="13">
        <f t="shared" si="1"/>
        <v>6</v>
      </c>
      <c r="AH45" s="7">
        <f t="shared" si="2"/>
        <v>10</v>
      </c>
      <c r="AI45" s="7">
        <f t="shared" si="3"/>
        <v>10</v>
      </c>
      <c r="AJ45" s="7">
        <f t="shared" si="4"/>
        <v>10</v>
      </c>
      <c r="AK45" s="7">
        <f t="shared" si="5"/>
        <v>6</v>
      </c>
      <c r="AL45" s="12">
        <f t="shared" si="9"/>
        <v>42</v>
      </c>
      <c r="AM45" s="14" t="str">
        <f t="shared" si="7"/>
        <v>Barrier</v>
      </c>
      <c r="AN45" s="10" t="s">
        <v>141</v>
      </c>
      <c r="AO45" s="21">
        <v>15</v>
      </c>
      <c r="AP45" s="10" t="s">
        <v>192</v>
      </c>
    </row>
    <row r="46" spans="1:42" ht="75" x14ac:dyDescent="0.25">
      <c r="A46" s="59">
        <v>45195</v>
      </c>
      <c r="C46" s="10">
        <v>8801991</v>
      </c>
      <c r="D46" s="10" t="s">
        <v>105</v>
      </c>
      <c r="E46" s="11">
        <v>9</v>
      </c>
      <c r="F46" s="39">
        <v>536545.61275122303</v>
      </c>
      <c r="G46" s="39">
        <v>6046288.72681263</v>
      </c>
      <c r="H46" s="11" t="s">
        <v>134</v>
      </c>
      <c r="I46" s="11" t="s">
        <v>94</v>
      </c>
      <c r="K46" s="11" t="s">
        <v>149</v>
      </c>
      <c r="L46" s="10" t="s">
        <v>110</v>
      </c>
      <c r="M46" s="10" t="s">
        <v>142</v>
      </c>
      <c r="N46" s="87"/>
      <c r="O46" s="87"/>
      <c r="P46" s="86"/>
      <c r="Q46" s="87"/>
      <c r="R46" s="86"/>
      <c r="S46" s="86"/>
      <c r="T46" s="87"/>
      <c r="U46" s="87"/>
      <c r="V46" s="86"/>
      <c r="W46" s="87"/>
      <c r="X46" s="86"/>
      <c r="Y46" s="87"/>
      <c r="Z46" s="87"/>
      <c r="AA46" s="86"/>
      <c r="AB46" s="10" t="s">
        <v>97</v>
      </c>
      <c r="AC46" s="10" t="s">
        <v>97</v>
      </c>
      <c r="AD46" s="86"/>
      <c r="AE46" s="86"/>
      <c r="AF46" s="20">
        <f t="shared" si="8"/>
        <v>0</v>
      </c>
      <c r="AG46" s="13">
        <f t="shared" si="1"/>
        <v>0</v>
      </c>
      <c r="AH46" s="7">
        <f t="shared" si="2"/>
        <v>0</v>
      </c>
      <c r="AI46" s="7">
        <f t="shared" si="3"/>
        <v>0</v>
      </c>
      <c r="AJ46" s="7">
        <f t="shared" si="4"/>
        <v>0</v>
      </c>
      <c r="AK46" s="7">
        <f t="shared" si="5"/>
        <v>0</v>
      </c>
      <c r="AL46" s="12">
        <f t="shared" si="9"/>
        <v>0</v>
      </c>
      <c r="AM46" s="14" t="str">
        <f t="shared" si="7"/>
        <v>Unknown</v>
      </c>
      <c r="AN46" s="88"/>
      <c r="AO46" s="89"/>
      <c r="AP46" s="10" t="s">
        <v>207</v>
      </c>
    </row>
    <row r="47" spans="1:42" ht="30" x14ac:dyDescent="0.25">
      <c r="A47" s="59">
        <v>45196</v>
      </c>
      <c r="C47" s="10">
        <v>2023092701</v>
      </c>
      <c r="D47" s="10" t="s">
        <v>92</v>
      </c>
      <c r="E47" s="11">
        <v>9</v>
      </c>
      <c r="F47" s="39">
        <v>614784.31697045104</v>
      </c>
      <c r="G47" s="39">
        <v>6010127.8275070302</v>
      </c>
      <c r="H47" s="11" t="s">
        <v>137</v>
      </c>
      <c r="I47" s="11" t="s">
        <v>138</v>
      </c>
      <c r="K47" s="11" t="s">
        <v>164</v>
      </c>
      <c r="L47" s="10" t="s">
        <v>95</v>
      </c>
      <c r="M47" s="10" t="s">
        <v>96</v>
      </c>
      <c r="N47" s="21">
        <v>1</v>
      </c>
      <c r="O47" s="21">
        <v>14</v>
      </c>
      <c r="P47" s="10" t="s">
        <v>97</v>
      </c>
      <c r="Q47" s="87"/>
      <c r="R47" s="10" t="s">
        <v>97</v>
      </c>
      <c r="S47" s="10" t="s">
        <v>97</v>
      </c>
      <c r="T47" s="87"/>
      <c r="U47" s="21">
        <v>1</v>
      </c>
      <c r="V47" s="10">
        <v>0.3</v>
      </c>
      <c r="W47" s="21">
        <v>0.8</v>
      </c>
      <c r="X47" s="10" t="s">
        <v>98</v>
      </c>
      <c r="Y47" s="21">
        <v>2</v>
      </c>
      <c r="Z47" s="21">
        <v>1.2</v>
      </c>
      <c r="AA47" s="10">
        <v>3</v>
      </c>
      <c r="AB47" s="10" t="s">
        <v>98</v>
      </c>
      <c r="AC47" s="10" t="s">
        <v>97</v>
      </c>
      <c r="AD47" s="10" t="s">
        <v>99</v>
      </c>
      <c r="AE47" s="10" t="s">
        <v>109</v>
      </c>
      <c r="AF47" s="20">
        <f t="shared" si="8"/>
        <v>1.2</v>
      </c>
      <c r="AG47" s="13">
        <f t="shared" si="1"/>
        <v>0</v>
      </c>
      <c r="AH47" s="7">
        <f t="shared" si="2"/>
        <v>10</v>
      </c>
      <c r="AI47" s="7">
        <f t="shared" si="3"/>
        <v>10</v>
      </c>
      <c r="AJ47" s="7">
        <f t="shared" si="4"/>
        <v>5</v>
      </c>
      <c r="AK47" s="7">
        <f t="shared" si="5"/>
        <v>3</v>
      </c>
      <c r="AL47" s="12">
        <f t="shared" si="9"/>
        <v>28</v>
      </c>
      <c r="AM47" s="14" t="str">
        <f t="shared" si="7"/>
        <v>Barrier</v>
      </c>
      <c r="AN47" s="10" t="s">
        <v>140</v>
      </c>
      <c r="AO47" s="21">
        <v>3</v>
      </c>
      <c r="AP47" s="10" t="s">
        <v>193</v>
      </c>
    </row>
    <row r="48" spans="1:42"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vPDlYloAFNGujY64XoLZAoam6uuRmX1Jv68F6eZPhGhNV2i9jdH7LWA/Fh8iqieindzlBtvZE4vaazmMibzaow==" saltValue="9ErL7u4whanphv9bwb2JD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5">
    <dataValidation type="list" allowBlank="1" showInputMessage="1" showErrorMessage="1" sqref="AM5284:AM65536" xr:uid="{00000000-0002-0000-0200-000000000000}">
      <formula1>"Passable, Potential, Barrier, Unkown"</formula1>
    </dataValidation>
    <dataValidation type="list" allowBlank="1" showInputMessage="1" showErrorMessage="1" sqref="M4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46 Q4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 N46 N4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4" xr:uid="{00000000-0002-0000-0200-00000E000000}">
      <formula1>0.01</formula1>
      <formula2>0.79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7 M17:M45 M15 M5:M13" xr:uid="{631B788B-9B01-4CB2-803E-787967B01CB7}">
      <formula1>"Round Culvert,Oval Culvert,Concrete Box"</formula1>
    </dataValidation>
    <dataValidation type="decimal" allowBlank="1" showInputMessage="1" showErrorMessage="1" errorTitle="Invalid Diamter or Span" error="The Diameter or Span entered is invalid. Diameter or Span must be &gt; 0 and &lt; 300" sqref="N47 N17:N45 N15 N5:N13" xr:uid="{1C9E28F6-9AA6-4E28-9D7A-CD927C4CE023}">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5 Q19" xr:uid="{8DAA1C1B-506A-4538-8041-4267490F78A7}">
      <formula1>0.01</formula1>
      <formula2>1.59</formula2>
    </dataValidation>
    <dataValidation type="decimal" allowBlank="1" showInputMessage="1" showErrorMessage="1" errorTitle="Invalid value entered" error="The Average Depth Embededdment you entered is invalid. The Average Depth Embededdment must be &lt;= 1.19 and &gt;= 0.01" sqref="Q9 Q6:Q7" xr:uid="{52380AF5-C78B-4ED3-BB23-C392CD0C0089}">
      <formula1>0.01</formula1>
      <formula2>1.19</formula2>
    </dataValidation>
    <dataValidation type="decimal" allowBlank="1" showInputMessage="1" showErrorMessage="1" errorTitle="Invalid value entered" error="The Average Depth Embededdment you entered is invalid. The Average Depth Embededdment must be &lt;= 0.89 and &gt;= 0.01" sqref="Q8 Q44 Q37 Q22 Q12" xr:uid="{FC099ABB-7780-40AD-86B3-7C0C2235A19D}">
      <formula1>0.01</formula1>
      <formula2>0.89</formula2>
    </dataValidation>
    <dataValidation type="decimal" allowBlank="1" showInputMessage="1" showErrorMessage="1" errorTitle="Invalid value entered" error="The Average Depth Embededdment you entered is invalid. The Average Depth Embededdment must be &lt;= 0.74 and &gt;= 0.01" sqref="Q10 Q20" xr:uid="{BA0EC7E7-C90C-4ABA-8E6F-56AA13AC8026}">
      <formula1>0.01</formula1>
      <formula2>0.74</formula2>
    </dataValidation>
    <dataValidation type="decimal" allowBlank="1" showInputMessage="1" showErrorMessage="1" errorTitle="Invalid value entered" error="The Average Depth Embededdment you entered is invalid. The Average Depth Embededdment must be &lt;= 1.29 and &gt;= 0.01" sqref="Q11" xr:uid="{1EAFE829-818C-4209-8435-8C6A5DFE5DA5}">
      <formula1>0.01</formula1>
      <formula2>1.29</formula2>
    </dataValidation>
    <dataValidation type="decimal" allowBlank="1" showInputMessage="1" showErrorMessage="1" errorTitle="Invalid value entered" error="The Average Depth Embededdment you entered is invalid. The Average Depth Embededdment must be &lt;= 0.99 and &gt;= 0.01" sqref="Q13 Q47 Q42 Q34" xr:uid="{9A308A26-9E54-4E7F-AD71-F2C97BD0C29F}">
      <formula1>0.01</formula1>
      <formula2>0.99</formula2>
    </dataValidation>
    <dataValidation type="list" allowBlank="1" showInputMessage="1" showErrorMessage="1" errorTitle="Invalid value entered" error="The crossing subtype is not compatible with a crossing type of Other" sqref="M14 M46" xr:uid="{B7151BA4-3B24-4AC6-8A8F-CB0EAA4E83F9}">
      <formula1>"Ford"</formula1>
    </dataValidation>
    <dataValidation type="decimal" allowBlank="1" showInputMessage="1" showErrorMessage="1" errorTitle="Invalid value entered" error="The Average Depth Embededdment you entered is invalid. The Average Depth Embededdment must be &lt;= 0.59 and &gt;= 0.01" sqref="Q15 Q41 Q39 Q18" xr:uid="{20E66A0D-9312-4FFE-99D3-04D6EBC66649}">
      <formula1>0.01</formula1>
      <formula2>0.59</formula2>
    </dataValidation>
    <dataValidation type="list" allowBlank="1" showInputMessage="1" showErrorMessage="1" errorTitle="Invalid value entered" error="The crossing subtype is not compatible with a crossing type of Open Bottom Structure" sqref="M16" xr:uid="{5D0142D4-26EF-495F-AA01-73A44466F772}">
      <formula1>"Bridge, Pipe Arch, Wood Box Culvert"</formula1>
    </dataValidation>
    <dataValidation type="decimal" allowBlank="1" showInputMessage="1" showErrorMessage="1" errorTitle="Invalid Diamter or Span" error="The Diameter or Span entered is invalid. Diameter or Span must be &gt; 0 and &lt; 100" sqref="N16" xr:uid="{8BA8E061-B5BE-4FD3-A0F4-AF5FCCB1B13B}">
      <formula1>0.01</formula1>
      <formula2>100</formula2>
    </dataValidation>
    <dataValidation type="decimal" allowBlank="1" showInputMessage="1" showErrorMessage="1" errorTitle="Invalid value entered" error="The Average Depth Embededdment you entered is invalid. The Average Depth Embededdment must be &lt;= 4.99 and &gt;= 0.01" sqref="Q16 Q36" xr:uid="{EA1E3B4B-B149-485C-9EB9-120777B37C9F}">
      <formula1>0.01</formula1>
      <formula2>4.99</formula2>
    </dataValidation>
    <dataValidation type="decimal" allowBlank="1" showInputMessage="1" showErrorMessage="1" errorTitle="Invalid value entered" error="The Average Depth Embededdment you entered is invalid. The Average Depth Embededdment must be &lt;= 1.09 and &gt;= 0.01" sqref="Q17" xr:uid="{755F593B-EE4E-4D8B-A8B6-286C57742D87}">
      <formula1>0.01</formula1>
      <formula2>1.09</formula2>
    </dataValidation>
    <dataValidation type="decimal" allowBlank="1" showInputMessage="1" showErrorMessage="1" errorTitle="Invalid value entered" error="The Average Depth Embededdment you entered is invalid. The Average Depth Embededdment must be &lt;= 1.99 and &gt;= 0.01" sqref="Q21 Q32" xr:uid="{77D6ECA7-48E1-449C-90BB-246AB3CFB30A}">
      <formula1>0.01</formula1>
      <formula2>1.99</formula2>
    </dataValidation>
    <dataValidation type="decimal" allowBlank="1" showInputMessage="1" showErrorMessage="1" errorTitle="Invalid value entered" error="The Average Depth Embededdment you entered is invalid. The Average Depth Embededdment must be &lt;= 4.49 and &gt;= 0.01" sqref="Q23" xr:uid="{67D4F56F-038C-4DB8-88A5-EFDA0A88FAC7}">
      <formula1>0.01</formula1>
      <formula2>4.49</formula2>
    </dataValidation>
    <dataValidation type="decimal" allowBlank="1" showInputMessage="1" showErrorMessage="1" errorTitle="Invalid value entered" error="The Average Depth Embededdment you entered is invalid. The Average Depth Embededdment must be &lt;= 1.24 and &gt;= 0.01" sqref="Q24" xr:uid="{2F55B945-C62E-481C-BD76-03ABC0AFA669}">
      <formula1>0.01</formula1>
      <formula2>1.24</formula2>
    </dataValidation>
    <dataValidation type="decimal" allowBlank="1" showInputMessage="1" showErrorMessage="1" errorTitle="Invalid value entered" error="The Average Depth Embededdment you entered is invalid. The Average Depth Embededdment must be &lt;= 1.79 and &gt;= 0.01" sqref="Q25" xr:uid="{97F0BF77-3BB5-4BCC-BD02-706979EE3658}">
      <formula1>0.01</formula1>
      <formula2>1.79</formula2>
    </dataValidation>
    <dataValidation type="decimal" allowBlank="1" showInputMessage="1" showErrorMessage="1" errorTitle="Invalid value entered" error="The Average Depth Embededdment you entered is invalid. The Average Depth Embededdment must be &lt;= 1.49 and &gt;= 0.01" sqref="Q45 Q43 Q38 Q29:Q30 Q26:Q27" xr:uid="{F9DA1AA4-0A4F-4120-B1A5-151646F67BEC}">
      <formula1>0.01</formula1>
      <formula2>1.49</formula2>
    </dataValidation>
    <dataValidation type="decimal" allowBlank="1" showInputMessage="1" showErrorMessage="1" errorTitle="Invalid value entered" error="The Average Depth Embededdment you entered is invalid. The Average Depth Embededdment must be &lt;= 1.69 and &gt;= 0.01" sqref="Q28" xr:uid="{C5ACAB3B-FF10-4407-9E35-57E826C10260}">
      <formula1>0.01</formula1>
      <formula2>1.69</formula2>
    </dataValidation>
    <dataValidation type="decimal" allowBlank="1" showInputMessage="1" showErrorMessage="1" errorTitle="Invalid value entered" error="The Average Depth Embededdment you entered is invalid. The Average Depth Embededdment must be &lt;= 4.79 and &gt;= 0.01" sqref="Q31" xr:uid="{B5E9EB96-EF8E-4BF8-9EDD-D26B58948E7C}">
      <formula1>0.01</formula1>
      <formula2>4.79</formula2>
    </dataValidation>
    <dataValidation type="decimal" allowBlank="1" showInputMessage="1" showErrorMessage="1" errorTitle="Invalid value entered" error="The Average Depth Embededdment you entered is invalid. The Average Depth Embededdment must be &lt;= 3.09 and &gt;= 0.01" sqref="Q33" xr:uid="{900B9924-BA05-4C51-83CF-CB44D09D00A8}">
      <formula1>0.01</formula1>
      <formula2>3.09</formula2>
    </dataValidation>
    <dataValidation type="decimal" allowBlank="1" showInputMessage="1" showErrorMessage="1" errorTitle="Invalid value entered" error="The Average Depth Embededdment you entered is invalid. The Average Depth Embededdment must be &lt;= 2.49 and &gt;= 0.01" sqref="Q35" xr:uid="{D045716D-0F38-4F20-9377-720EC6EEA5B8}">
      <formula1>0.01</formula1>
      <formula2>2.49</formula2>
    </dataValidation>
    <dataValidation type="decimal" allowBlank="1" showInputMessage="1" showErrorMessage="1" errorTitle="Invalid value entered" error="The Average Depth Embededdment you entered is invalid. The Average Depth Embededdment must be &lt;= 3.49 and &gt;= 0.01" sqref="Q40" xr:uid="{6ADC7CAA-28CB-4D35-819E-4B0F2D809FFD}">
      <formula1>0.01</formula1>
      <formula2>3.49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2023-11-17T02:12:22Z</dcterms:modified>
</cp:coreProperties>
</file>