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3_reporting/data/"/>
    </mc:Choice>
  </mc:AlternateContent>
  <xr:revisionPtr revIDLastSave="0" documentId="13_ncr:1_{FFA4D6D1-3785-F341-A277-8C5CFA0E617F}" xr6:coauthVersionLast="47" xr6:coauthVersionMax="47" xr10:uidLastSave="{00000000-0000-0000-0000-000000000000}"/>
  <bookViews>
    <workbookView xWindow="-32760" yWindow="0" windowWidth="30240" windowHeight="1900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4" i="2"/>
  <c r="AM42" i="2"/>
  <c r="AM37" i="2"/>
  <c r="AM32"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L292" i="2" s="1"/>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L1001" i="2" s="1"/>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c r="AI2605" i="2"/>
  <c r="AJ2605" i="2"/>
  <c r="AF2606" i="2"/>
  <c r="AK2606" i="2"/>
  <c r="AG2606" i="2"/>
  <c r="AH2606" i="2"/>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L3099" i="2" s="1"/>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s="1"/>
  <c r="AG3361" i="2"/>
  <c r="AH3361" i="2"/>
  <c r="AI3361" i="2"/>
  <c r="AJ3361" i="2"/>
  <c r="AF3362" i="2"/>
  <c r="AK3362" i="2"/>
  <c r="AG3362" i="2"/>
  <c r="AH3362" i="2"/>
  <c r="AI3362" i="2"/>
  <c r="AJ3362" i="2"/>
  <c r="AF3363" i="2"/>
  <c r="AK3363" i="2" s="1"/>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s="1"/>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H3493" i="2"/>
  <c r="AL3493" i="2"/>
  <c r="AI3493" i="2"/>
  <c r="AJ3493" i="2"/>
  <c r="AF3494" i="2"/>
  <c r="AG3494" i="2"/>
  <c r="AH3494" i="2"/>
  <c r="AI3494" i="2"/>
  <c r="AJ3494" i="2"/>
  <c r="AK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L3825" i="2" s="1"/>
  <c r="AI3825" i="2"/>
  <c r="AJ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H3835" i="2"/>
  <c r="AI3835" i="2"/>
  <c r="AL3835" i="2" s="1"/>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L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L3948" i="2" s="1"/>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s="1"/>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L4213" i="2" s="1"/>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L4228" i="2" s="1"/>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L4256" i="2" s="1"/>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G4260" i="2"/>
  <c r="AH4260" i="2"/>
  <c r="AI4260" i="2"/>
  <c r="AJ4260" i="2"/>
  <c r="AL4260" i="2" s="1"/>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L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L4280" i="2" s="1"/>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G4295" i="2"/>
  <c r="AH4295" i="2"/>
  <c r="AL4295" i="2" s="1"/>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L4311" i="2" s="1"/>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c r="AH4318" i="2"/>
  <c r="AI4318" i="2"/>
  <c r="AJ4318" i="2"/>
  <c r="AF4319" i="2"/>
  <c r="AK4319" i="2" s="1"/>
  <c r="AL4319" i="2" s="1"/>
  <c r="AG4319" i="2"/>
  <c r="AH4319" i="2"/>
  <c r="AI4319" i="2"/>
  <c r="AJ4319" i="2"/>
  <c r="AF4320" i="2"/>
  <c r="AK4320" i="2" s="1"/>
  <c r="AG4320" i="2"/>
  <c r="AL4320" i="2"/>
  <c r="AH4320" i="2"/>
  <c r="AI4320" i="2"/>
  <c r="AJ4320" i="2"/>
  <c r="AF4321" i="2"/>
  <c r="AK4321" i="2" s="1"/>
  <c r="AL4321" i="2" s="1"/>
  <c r="AG4321" i="2"/>
  <c r="AH4321" i="2"/>
  <c r="AI4321" i="2"/>
  <c r="AJ4321" i="2"/>
  <c r="AF4322" i="2"/>
  <c r="AK4322" i="2"/>
  <c r="AG4322" i="2"/>
  <c r="AL4322" i="2" s="1"/>
  <c r="AH4322" i="2"/>
  <c r="AI4322" i="2"/>
  <c r="AJ4322" i="2"/>
  <c r="AF4323" i="2"/>
  <c r="AK4323" i="2" s="1"/>
  <c r="AG4323" i="2"/>
  <c r="AH4323" i="2"/>
  <c r="AI4323" i="2"/>
  <c r="AL4323" i="2" s="1"/>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L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L4380" i="2" s="1"/>
  <c r="AJ4380" i="2"/>
  <c r="AF4381" i="2"/>
  <c r="AK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s="1"/>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L4426" i="2" s="1"/>
  <c r="AG4426" i="2"/>
  <c r="AH4426" i="2"/>
  <c r="AI4426" i="2"/>
  <c r="AJ4426" i="2"/>
  <c r="AF4427" i="2"/>
  <c r="AK4427" i="2" s="1"/>
  <c r="AL4427" i="2" s="1"/>
  <c r="AG4427" i="2"/>
  <c r="AH4427" i="2"/>
  <c r="AI4427" i="2"/>
  <c r="AJ4427" i="2"/>
  <c r="AF4428" i="2"/>
  <c r="AK4428" i="2"/>
  <c r="AG4428" i="2"/>
  <c r="AH4428" i="2"/>
  <c r="AI4428" i="2"/>
  <c r="AJ4428" i="2"/>
  <c r="AF4429" i="2"/>
  <c r="AK4429" i="2" s="1"/>
  <c r="AL4429" i="2" s="1"/>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L4483" i="2" s="1"/>
  <c r="AJ4483" i="2"/>
  <c r="AF4484" i="2"/>
  <c r="AK4484" i="2" s="1"/>
  <c r="AG4484" i="2"/>
  <c r="AL4484" i="2" s="1"/>
  <c r="AH4484" i="2"/>
  <c r="AI4484" i="2"/>
  <c r="AJ4484" i="2"/>
  <c r="AF4485" i="2"/>
  <c r="AK4485" i="2" s="1"/>
  <c r="AL4485" i="2" s="1"/>
  <c r="AG4485" i="2"/>
  <c r="AH4485" i="2"/>
  <c r="AI4485" i="2"/>
  <c r="AJ4485" i="2"/>
  <c r="AF4486" i="2"/>
  <c r="AK4486" i="2"/>
  <c r="AG4486" i="2"/>
  <c r="AH4486" i="2"/>
  <c r="AI4486" i="2"/>
  <c r="AJ4486" i="2"/>
  <c r="AF4487" i="2"/>
  <c r="AK4487" i="2" s="1"/>
  <c r="AL4487" i="2" s="1"/>
  <c r="AG4487" i="2"/>
  <c r="AH4487" i="2"/>
  <c r="AI4487" i="2"/>
  <c r="AJ4487" i="2"/>
  <c r="AF4488" i="2"/>
  <c r="AK4488" i="2"/>
  <c r="AG4488" i="2"/>
  <c r="AH4488" i="2"/>
  <c r="AI4488" i="2"/>
  <c r="AL4488" i="2" s="1"/>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s="1"/>
  <c r="AL4493" i="2" s="1"/>
  <c r="AG4493" i="2"/>
  <c r="AH4493" i="2"/>
  <c r="AI4493" i="2"/>
  <c r="AJ4493" i="2"/>
  <c r="AF4494" i="2"/>
  <c r="AK4494" i="2"/>
  <c r="AG4494" i="2"/>
  <c r="AH4494" i="2"/>
  <c r="AI4494" i="2"/>
  <c r="AJ4494" i="2"/>
  <c r="AF4495" i="2"/>
  <c r="AK4495" i="2" s="1"/>
  <c r="AL4495" i="2" s="1"/>
  <c r="AG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H4502" i="2"/>
  <c r="AI4502" i="2"/>
  <c r="AJ4502" i="2"/>
  <c r="AL4502" i="2" s="1"/>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G4510" i="2"/>
  <c r="AL4510" i="2" s="1"/>
  <c r="AH4510" i="2"/>
  <c r="AI4510" i="2"/>
  <c r="AJ4510" i="2"/>
  <c r="AF4511" i="2"/>
  <c r="AK4511" i="2" s="1"/>
  <c r="AG4511" i="2"/>
  <c r="AH4511" i="2"/>
  <c r="AI4511" i="2"/>
  <c r="AJ4511" i="2"/>
  <c r="AF4512" i="2"/>
  <c r="AK4512" i="2" s="1"/>
  <c r="AL4512" i="2" s="1"/>
  <c r="AG4512" i="2"/>
  <c r="AH4512" i="2"/>
  <c r="AI4512" i="2"/>
  <c r="AJ4512" i="2"/>
  <c r="AF4513" i="2"/>
  <c r="AK4513" i="2" s="1"/>
  <c r="AG4513" i="2"/>
  <c r="AH4513" i="2"/>
  <c r="AI4513" i="2"/>
  <c r="AJ4513" i="2"/>
  <c r="AL4513" i="2" s="1"/>
  <c r="AF4514" i="2"/>
  <c r="AK4514" i="2" s="1"/>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s="1"/>
  <c r="AG4527" i="2"/>
  <c r="AH4527" i="2"/>
  <c r="AI4527" i="2"/>
  <c r="AL4527" i="2" s="1"/>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s="1"/>
  <c r="AF4531" i="2"/>
  <c r="AK4531" i="2" s="1"/>
  <c r="AG4531" i="2"/>
  <c r="AH4531" i="2"/>
  <c r="AI4531" i="2"/>
  <c r="AJ4531" i="2"/>
  <c r="AL4531" i="2"/>
  <c r="AF4532" i="2"/>
  <c r="AK4532" i="2" s="1"/>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s="1"/>
  <c r="AL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s="1"/>
  <c r="AL4558" i="2" s="1"/>
  <c r="AG4558" i="2"/>
  <c r="AH4558" i="2"/>
  <c r="AI4558" i="2"/>
  <c r="AJ4558" i="2"/>
  <c r="AF4559" i="2"/>
  <c r="AK4559" i="2"/>
  <c r="AG4559" i="2"/>
  <c r="AH4559" i="2"/>
  <c r="AI4559" i="2"/>
  <c r="AL4559" i="2" s="1"/>
  <c r="AJ4559" i="2"/>
  <c r="AF4560" i="2"/>
  <c r="AK4560" i="2" s="1"/>
  <c r="AG4560" i="2"/>
  <c r="AH4560" i="2"/>
  <c r="AI4560" i="2"/>
  <c r="AJ4560" i="2"/>
  <c r="AL4560" i="2" s="1"/>
  <c r="AF4561" i="2"/>
  <c r="AK4561" i="2" s="1"/>
  <c r="AL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L4568" i="2" s="1"/>
  <c r="AJ4568" i="2"/>
  <c r="AF4569" i="2"/>
  <c r="AK4569" i="2" s="1"/>
  <c r="AG4569" i="2"/>
  <c r="AL4569" i="2" s="1"/>
  <c r="AH4569" i="2"/>
  <c r="AI4569" i="2"/>
  <c r="AJ4569" i="2"/>
  <c r="AF4570" i="2"/>
  <c r="AK4570" i="2" s="1"/>
  <c r="AL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L4581" i="2" s="1"/>
  <c r="AG4581" i="2"/>
  <c r="AH4581" i="2"/>
  <c r="AI4581" i="2"/>
  <c r="AJ4581" i="2"/>
  <c r="AF4582" i="2"/>
  <c r="AK4582" i="2"/>
  <c r="AG4582" i="2"/>
  <c r="AH4582" i="2"/>
  <c r="AI4582" i="2"/>
  <c r="AJ4582" i="2"/>
  <c r="AF4583" i="2"/>
  <c r="AK4583" i="2" s="1"/>
  <c r="AL4583" i="2" s="1"/>
  <c r="AG4583" i="2"/>
  <c r="AH4583" i="2"/>
  <c r="AI4583" i="2"/>
  <c r="AJ4583" i="2"/>
  <c r="AF4584" i="2"/>
  <c r="AK4584" i="2"/>
  <c r="AG4584" i="2"/>
  <c r="AL4584" i="2" s="1"/>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L4594" i="2" s="1"/>
  <c r="AG4594" i="2"/>
  <c r="AH4594" i="2"/>
  <c r="AI4594" i="2"/>
  <c r="AJ4594" i="2"/>
  <c r="AF4595" i="2"/>
  <c r="AK4595" i="2" s="1"/>
  <c r="AG4595" i="2"/>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s="1"/>
  <c r="AL4599" i="2" s="1"/>
  <c r="AG4599" i="2"/>
  <c r="AH4599" i="2"/>
  <c r="AI4599" i="2"/>
  <c r="AJ4599" i="2"/>
  <c r="AF4600" i="2"/>
  <c r="AK4600" i="2"/>
  <c r="AG4600" i="2"/>
  <c r="AH4600" i="2"/>
  <c r="AI4600" i="2"/>
  <c r="AL4600" i="2" s="1"/>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c r="AG4614" i="2"/>
  <c r="AH4614" i="2"/>
  <c r="AI4614" i="2"/>
  <c r="AJ4614" i="2"/>
  <c r="AF4615" i="2"/>
  <c r="AK4615" i="2" s="1"/>
  <c r="AL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L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L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L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L4692" i="2" s="1"/>
  <c r="AI4692" i="2"/>
  <c r="AJ4692" i="2"/>
  <c r="AF4693" i="2"/>
  <c r="AG4693" i="2"/>
  <c r="AL4693" i="2" s="1"/>
  <c r="AH4693" i="2"/>
  <c r="AI4693" i="2"/>
  <c r="AJ4693" i="2"/>
  <c r="AK4693" i="2"/>
  <c r="AF4694" i="2"/>
  <c r="AK4694" i="2"/>
  <c r="AG4694" i="2"/>
  <c r="AL4694" i="2" s="1"/>
  <c r="AH4694" i="2"/>
  <c r="AI4694" i="2"/>
  <c r="AJ4694" i="2"/>
  <c r="AF4695" i="2"/>
  <c r="AK4695" i="2"/>
  <c r="AG4695" i="2"/>
  <c r="AL4695" i="2" s="1"/>
  <c r="AH4695" i="2"/>
  <c r="AI4695" i="2"/>
  <c r="AJ4695" i="2"/>
  <c r="AF4696" i="2"/>
  <c r="AK4696" i="2" s="1"/>
  <c r="AG4696" i="2"/>
  <c r="AH4696" i="2"/>
  <c r="AL4696" i="2" s="1"/>
  <c r="AI4696" i="2"/>
  <c r="AJ4696" i="2"/>
  <c r="AF4697" i="2"/>
  <c r="AK4697" i="2"/>
  <c r="AG4697" i="2"/>
  <c r="AH4697" i="2"/>
  <c r="AI4697" i="2"/>
  <c r="AJ4697" i="2"/>
  <c r="AF4698" i="2"/>
  <c r="AK4698" i="2"/>
  <c r="AG4698" i="2"/>
  <c r="AH4698" i="2"/>
  <c r="AI4698" i="2"/>
  <c r="AJ4698" i="2"/>
  <c r="AF4699" i="2"/>
  <c r="AK4699" i="2"/>
  <c r="AG4699" i="2"/>
  <c r="AH4699" i="2"/>
  <c r="AI4699" i="2"/>
  <c r="AL4699" i="2" s="1"/>
  <c r="AJ4699" i="2"/>
  <c r="AF4700" i="2"/>
  <c r="AK4700" i="2"/>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L4709" i="2" s="1"/>
  <c r="AI4709" i="2"/>
  <c r="AJ4709" i="2"/>
  <c r="AF4710" i="2"/>
  <c r="AK4710" i="2"/>
  <c r="AG4710" i="2"/>
  <c r="AL4710" i="2" s="1"/>
  <c r="AH4710" i="2"/>
  <c r="AI4710" i="2"/>
  <c r="AJ4710" i="2"/>
  <c r="AF4711" i="2"/>
  <c r="AG4711" i="2"/>
  <c r="AH4711" i="2"/>
  <c r="AI4711" i="2"/>
  <c r="AJ4711" i="2"/>
  <c r="AK4711" i="2"/>
  <c r="AF4712" i="2"/>
  <c r="AK4712" i="2"/>
  <c r="AG4712" i="2"/>
  <c r="AH4712" i="2"/>
  <c r="AL4712" i="2" s="1"/>
  <c r="AI4712" i="2"/>
  <c r="AJ4712" i="2"/>
  <c r="AF4713" i="2"/>
  <c r="AK4713" i="2"/>
  <c r="AG4713" i="2"/>
  <c r="AL4713" i="2" s="1"/>
  <c r="AH4713" i="2"/>
  <c r="AI4713" i="2"/>
  <c r="AJ4713" i="2"/>
  <c r="AF4714" i="2"/>
  <c r="AK4714" i="2"/>
  <c r="AG4714" i="2"/>
  <c r="AL4714" i="2" s="1"/>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L4730" i="2" s="1"/>
  <c r="AG4730" i="2"/>
  <c r="AH4730" i="2"/>
  <c r="AI4730" i="2"/>
  <c r="AJ4730" i="2"/>
  <c r="AF4731" i="2"/>
  <c r="AK4731" i="2"/>
  <c r="AG4731" i="2"/>
  <c r="AH4731" i="2"/>
  <c r="AI4731" i="2"/>
  <c r="AJ4731" i="2"/>
  <c r="AL4731" i="2" s="1"/>
  <c r="AF4732" i="2"/>
  <c r="AK4732" i="2"/>
  <c r="AG4732" i="2"/>
  <c r="AL4732" i="2" s="1"/>
  <c r="AH4732" i="2"/>
  <c r="AI4732" i="2"/>
  <c r="AJ4732" i="2"/>
  <c r="AF4733" i="2"/>
  <c r="AK4733" i="2" s="1"/>
  <c r="AL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L4738" i="2" s="1"/>
  <c r="AG4738" i="2"/>
  <c r="AH4738" i="2"/>
  <c r="AI4738" i="2"/>
  <c r="AJ4738" i="2"/>
  <c r="AF4739" i="2"/>
  <c r="AK4739" i="2"/>
  <c r="AG4739" i="2"/>
  <c r="AL4739" i="2" s="1"/>
  <c r="AH4739" i="2"/>
  <c r="AI4739" i="2"/>
  <c r="AJ4739" i="2"/>
  <c r="AF4740" i="2"/>
  <c r="AK4740" i="2"/>
  <c r="AG4740" i="2"/>
  <c r="AL4740" i="2"/>
  <c r="AH4740" i="2"/>
  <c r="AI4740" i="2"/>
  <c r="AJ4740" i="2"/>
  <c r="AF4741" i="2"/>
  <c r="AK4741" i="2" s="1"/>
  <c r="AG4741" i="2"/>
  <c r="AH4741" i="2"/>
  <c r="AL4741" i="2" s="1"/>
  <c r="AI4741" i="2"/>
  <c r="AJ4741" i="2"/>
  <c r="AF4742" i="2"/>
  <c r="AK4742" i="2"/>
  <c r="AG4742" i="2"/>
  <c r="AH4742" i="2"/>
  <c r="AL4742" i="2" s="1"/>
  <c r="AI4742" i="2"/>
  <c r="AJ4742" i="2"/>
  <c r="AF4743" i="2"/>
  <c r="AK4743" i="2"/>
  <c r="AG4743" i="2"/>
  <c r="AH4743" i="2"/>
  <c r="AI4743" i="2"/>
  <c r="AJ4743" i="2"/>
  <c r="AL4743" i="2"/>
  <c r="AF4744" i="2"/>
  <c r="AK4744" i="2"/>
  <c r="AG4744" i="2"/>
  <c r="AL4744" i="2" s="1"/>
  <c r="AH4744" i="2"/>
  <c r="AI4744" i="2"/>
  <c r="AJ4744" i="2"/>
  <c r="AF4745" i="2"/>
  <c r="AK4745" i="2" s="1"/>
  <c r="AG4745" i="2"/>
  <c r="AL4745" i="2" s="1"/>
  <c r="AH4745" i="2"/>
  <c r="AI4745" i="2"/>
  <c r="AJ4745" i="2"/>
  <c r="AF4746" i="2"/>
  <c r="AK4746" i="2"/>
  <c r="AG4746" i="2"/>
  <c r="AL4746" i="2" s="1"/>
  <c r="AH4746" i="2"/>
  <c r="AI4746" i="2"/>
  <c r="AJ4746" i="2"/>
  <c r="AF4747" i="2"/>
  <c r="AK4747" i="2"/>
  <c r="AG4747" i="2"/>
  <c r="AH4747" i="2"/>
  <c r="AI4747" i="2"/>
  <c r="AJ4747" i="2"/>
  <c r="AL4747" i="2" s="1"/>
  <c r="AF4748" i="2"/>
  <c r="AK4748" i="2"/>
  <c r="AG4748" i="2"/>
  <c r="AH4748" i="2"/>
  <c r="AI4748" i="2"/>
  <c r="AJ4748" i="2"/>
  <c r="AF4749" i="2"/>
  <c r="AK4749" i="2"/>
  <c r="AG4749" i="2"/>
  <c r="AH4749" i="2"/>
  <c r="AL4749" i="2" s="1"/>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s="1"/>
  <c r="AG4753" i="2"/>
  <c r="AH4753" i="2"/>
  <c r="AI4753" i="2"/>
  <c r="AJ4753" i="2"/>
  <c r="AF4754" i="2"/>
  <c r="AK4754" i="2"/>
  <c r="AG4754" i="2"/>
  <c r="AH4754" i="2"/>
  <c r="AL4754" i="2" s="1"/>
  <c r="AI4754" i="2"/>
  <c r="AJ4754" i="2"/>
  <c r="AF4755" i="2"/>
  <c r="AK4755" i="2"/>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L4769" i="2" s="1"/>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L4783" i="2" s="1"/>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L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L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L4880" i="2" s="1"/>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s="1"/>
  <c r="AG4897" i="2"/>
  <c r="AH4897" i="2"/>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I4915" i="2"/>
  <c r="AL4915" i="2" s="1"/>
  <c r="AJ4915" i="2"/>
  <c r="AF4916" i="2"/>
  <c r="AK4916" i="2"/>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L4922" i="2" s="1"/>
  <c r="AI4922" i="2"/>
  <c r="AJ4922" i="2"/>
  <c r="AF4923" i="2"/>
  <c r="AK4923" i="2"/>
  <c r="AG4923" i="2"/>
  <c r="AH4923" i="2"/>
  <c r="AI4923" i="2"/>
  <c r="AJ4923" i="2"/>
  <c r="AF4924" i="2"/>
  <c r="AK4924" i="2"/>
  <c r="AG4924" i="2"/>
  <c r="AL4924" i="2" s="1"/>
  <c r="AH4924" i="2"/>
  <c r="AI4924" i="2"/>
  <c r="AJ4924" i="2"/>
  <c r="AF4925" i="2"/>
  <c r="AK4925" i="2" s="1"/>
  <c r="AL4925" i="2" s="1"/>
  <c r="AG4925" i="2"/>
  <c r="AH4925" i="2"/>
  <c r="AI4925" i="2"/>
  <c r="AJ4925" i="2"/>
  <c r="AF4926" i="2"/>
  <c r="AK4926" i="2"/>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L4930" i="2" s="1"/>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L4940" i="2" s="1"/>
  <c r="AJ4940" i="2"/>
  <c r="AF4941" i="2"/>
  <c r="AK4941" i="2"/>
  <c r="AG4941" i="2"/>
  <c r="AL4941" i="2" s="1"/>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H4946" i="2"/>
  <c r="AL4946" i="2" s="1"/>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L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L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23" i="2"/>
  <c r="AM23" i="2" s="1"/>
  <c r="AL89" i="2"/>
  <c r="AL81" i="2"/>
  <c r="AL73" i="2"/>
  <c r="AL65" i="2"/>
  <c r="AL57" i="2"/>
  <c r="AL49" i="2"/>
  <c r="AL33" i="2"/>
  <c r="AM33" i="2" s="1"/>
  <c r="AL75" i="2"/>
  <c r="AL67" i="2"/>
  <c r="AL59" i="2"/>
  <c r="AL51" i="2"/>
  <c r="AL27" i="2"/>
  <c r="AM27" i="2" s="1"/>
  <c r="AL4796" i="2"/>
  <c r="AL4551" i="2"/>
  <c r="AL4563" i="2"/>
  <c r="AL4541" i="2"/>
  <c r="AL4665" i="2"/>
  <c r="AL4553" i="2"/>
  <c r="AL4329" i="2"/>
  <c r="AL4268" i="2"/>
  <c r="AL4200" i="2"/>
  <c r="AL4149" i="2"/>
  <c r="AL4136" i="2"/>
  <c r="AL4092" i="2"/>
  <c r="AL4085" i="2"/>
  <c r="AL4062" i="2"/>
  <c r="AL4395" i="2"/>
  <c r="AL4387" i="2"/>
  <c r="AL4337" i="2"/>
  <c r="AL4333" i="2"/>
  <c r="AL4368" i="2"/>
  <c r="AL4341" i="2"/>
  <c r="AL4331"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829" i="2"/>
  <c r="AL4720" i="2"/>
  <c r="AL4818" i="2"/>
  <c r="AL4697" i="2"/>
  <c r="AL4447"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489" i="2"/>
  <c r="AL4324" i="2"/>
  <c r="AL4278" i="2"/>
  <c r="AL4225" i="2"/>
  <c r="AL4141" i="2"/>
  <c r="AL4966" i="2"/>
  <c r="AL4900" i="2"/>
  <c r="AL4816" i="2"/>
  <c r="AL4813" i="2"/>
  <c r="AL4459" i="2"/>
  <c r="AL4433" i="2"/>
  <c r="AL4303" i="2"/>
  <c r="AL3843" i="2"/>
  <c r="AL4528" i="2"/>
  <c r="AL4466" i="2"/>
  <c r="AL4949" i="2"/>
  <c r="AL4756" i="2"/>
  <c r="AL4734" i="2"/>
  <c r="AL4724" i="2"/>
  <c r="AL4644" i="2"/>
  <c r="AL4494" i="2"/>
  <c r="AL4478" i="2"/>
  <c r="AL4454" i="2"/>
  <c r="AL4431" i="2"/>
  <c r="AL4345" i="2"/>
  <c r="AL4338" i="2"/>
  <c r="AL4007" i="2"/>
  <c r="AL3986" i="2"/>
  <c r="AL4804" i="2"/>
  <c r="AL4981" i="2"/>
  <c r="AL4938" i="2"/>
  <c r="AL4877" i="2"/>
  <c r="AL4798" i="2"/>
  <c r="AL4736" i="2"/>
  <c r="AL4633" i="2"/>
  <c r="AL4549" i="2"/>
  <c r="AL4461" i="2"/>
  <c r="AL4439"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398" i="2"/>
  <c r="AL4388" i="2"/>
  <c r="AL4716" i="2"/>
  <c r="AL4601" i="2"/>
  <c r="AL4396" i="2"/>
  <c r="AL4952" i="2"/>
  <c r="AL4807" i="2"/>
  <c r="AL4668" i="2"/>
  <c r="AL4591" i="2"/>
  <c r="AL4332" i="2"/>
  <c r="AL4910" i="2"/>
  <c r="AL4750" i="2"/>
  <c r="AL4636" i="2"/>
  <c r="AL4617" i="2"/>
  <c r="AL4518" i="2"/>
  <c r="AL4979" i="2"/>
  <c r="AL4837" i="2"/>
  <c r="AL4835" i="2"/>
  <c r="AL4706" i="2"/>
  <c r="AL4629" i="2"/>
  <c r="AL4453" i="2"/>
  <c r="AL4334" i="2"/>
  <c r="AL4233" i="2"/>
  <c r="AL4931" i="2"/>
  <c r="AL4802" i="2"/>
  <c r="AL4688" i="2"/>
  <c r="AL4516"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36" i="2"/>
  <c r="AL4914" i="2"/>
  <c r="AL4797" i="2"/>
  <c r="AL4649" i="2"/>
  <c r="AL4597" i="2"/>
  <c r="AL4858" i="2"/>
  <c r="AL4704" i="2"/>
  <c r="AL4664" i="2"/>
  <c r="AL4973" i="2"/>
  <c r="AL4853" i="2"/>
  <c r="AL4785" i="2"/>
  <c r="AL4698" i="2"/>
  <c r="AL4892" i="2"/>
  <c r="AL4850" i="2"/>
  <c r="AL4964" i="2"/>
  <c r="AL4545" i="2"/>
  <c r="AL4385" i="2"/>
  <c r="AL4298" i="2"/>
  <c r="AL4143" i="2"/>
  <c r="AL4083" i="2"/>
  <c r="AL4035" i="2"/>
  <c r="AL3999" i="2"/>
  <c r="AL3979" i="2"/>
  <c r="AL3969" i="2"/>
  <c r="AL3798" i="2"/>
  <c r="AL3744" i="2"/>
  <c r="AL3546" i="2"/>
  <c r="AL3523" i="2"/>
  <c r="AL4366"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677" i="2"/>
  <c r="AL4992" i="2"/>
  <c r="AL4989" i="2"/>
  <c r="AL4929" i="2"/>
  <c r="AL4916" i="2"/>
  <c r="AL4856" i="2"/>
  <c r="AL4840" i="2"/>
  <c r="AL4779" i="2"/>
  <c r="AL4771" i="2"/>
  <c r="AL4719" i="2"/>
  <c r="AL4537" i="2"/>
  <c r="AL4948" i="2"/>
  <c r="AL4926" i="2"/>
  <c r="AL4906" i="2"/>
  <c r="AL4903" i="2"/>
  <c r="AL4896" i="2"/>
  <c r="AL4874" i="2"/>
  <c r="AL4871" i="2"/>
  <c r="AL4860" i="2"/>
  <c r="AL4817" i="2"/>
  <c r="AL4799" i="2"/>
  <c r="AL4772" i="2"/>
  <c r="AL4647" i="2"/>
  <c r="AL4588" i="2"/>
  <c r="AL4582" i="2"/>
  <c r="AL4961" i="2"/>
  <c r="AL4944" i="2"/>
  <c r="AL4937" i="2"/>
  <c r="AL4923" i="2"/>
  <c r="AL4913" i="2"/>
  <c r="AL4843" i="2"/>
  <c r="AL4825" i="2"/>
  <c r="AL4806" i="2"/>
  <c r="AL4758" i="2"/>
  <c r="AL4723" i="2"/>
  <c r="AL4675" i="2"/>
  <c r="AL4604" i="2"/>
  <c r="AL4969" i="2"/>
  <c r="AL4959" i="2"/>
  <c r="AL4911" i="2"/>
  <c r="AL4894" i="2"/>
  <c r="AL4980" i="2"/>
  <c r="AL4956" i="2"/>
  <c r="AL4904" i="2"/>
  <c r="AL4794" i="2"/>
  <c r="AL4686" i="2"/>
  <c r="AL4656" i="2"/>
  <c r="AL4580" i="2"/>
  <c r="AL4574" i="2"/>
  <c r="AL4522" i="2"/>
  <c r="AL4449" i="2"/>
  <c r="AL4935" i="2"/>
  <c r="AL4921" i="2"/>
  <c r="AL4905" i="2"/>
  <c r="AL4879" i="2"/>
  <c r="AL4819" i="2"/>
  <c r="AL4770" i="2"/>
  <c r="AL4645" i="2"/>
  <c r="AL4623" i="2"/>
  <c r="AL4619" i="2"/>
  <c r="AL4586" i="2"/>
  <c r="AL4555" i="2"/>
  <c r="AL4650" i="2"/>
  <c r="AL4576" i="2"/>
  <c r="AL4572" i="2"/>
  <c r="AL4554" i="2"/>
  <c r="AL4412" i="2"/>
  <c r="AL4404" i="2"/>
  <c r="AL4254" i="2"/>
  <c r="AL4632" i="2"/>
  <c r="AL4543" i="2"/>
  <c r="AL4526" i="2"/>
  <c r="AL4370" i="2"/>
  <c r="AL4671" i="2"/>
  <c r="AL4565" i="2"/>
  <c r="AL4500" i="2"/>
  <c r="AL4446" i="2"/>
  <c r="AL4419" i="2"/>
  <c r="AL4382" i="2"/>
  <c r="AL4362" i="2"/>
  <c r="AL4236" i="2"/>
  <c r="AL4125" i="2"/>
  <c r="AL4643" i="2"/>
  <c r="AL4413" i="2"/>
  <c r="AL4288" i="2"/>
  <c r="AL4614" i="2"/>
  <c r="AL4566" i="2"/>
  <c r="AL4504" i="2"/>
  <c r="AL4240" i="2"/>
  <c r="AL4679" i="2"/>
  <c r="AL4592" i="2"/>
  <c r="AL4100" i="2"/>
  <c r="AL4486" i="2"/>
  <c r="AL4479" i="2"/>
  <c r="AL4440"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7" i="2" l="1"/>
  <c r="AM47" i="2" s="1"/>
  <c r="AL46" i="2"/>
  <c r="AM46" i="2" s="1"/>
  <c r="AL45" i="2"/>
  <c r="AM45" i="2" s="1"/>
  <c r="AL44" i="2"/>
  <c r="AL43" i="2"/>
  <c r="AM43" i="2" s="1"/>
  <c r="AL41" i="2"/>
  <c r="AM41" i="2" s="1"/>
  <c r="AL40" i="2"/>
  <c r="AM40" i="2" s="1"/>
  <c r="AL39" i="2"/>
  <c r="AM39" i="2" s="1"/>
  <c r="AL37" i="2"/>
  <c r="AL36" i="2"/>
  <c r="AM36" i="2" s="1"/>
  <c r="AL35" i="2"/>
  <c r="AM35" i="2" s="1"/>
  <c r="AL34" i="2"/>
  <c r="AM34" i="2" s="1"/>
  <c r="AL31" i="2"/>
  <c r="AM31" i="2" s="1"/>
  <c r="AL30" i="2"/>
  <c r="AM30" i="2" s="1"/>
  <c r="AL29" i="2"/>
  <c r="AM29" i="2" s="1"/>
  <c r="AL28" i="2"/>
  <c r="AM28" i="2" s="1"/>
  <c r="AL25" i="2"/>
  <c r="AM25" i="2" s="1"/>
  <c r="AL24" i="2"/>
  <c r="AM24" i="2" s="1"/>
  <c r="AL21" i="2"/>
  <c r="AM21" i="2" s="1"/>
  <c r="AL20" i="2"/>
  <c r="AM20" i="2" s="1"/>
  <c r="AL19" i="2"/>
  <c r="AM19" i="2" s="1"/>
  <c r="AL17" i="2"/>
  <c r="AM17" i="2" s="1"/>
  <c r="AL16" i="2"/>
  <c r="AM16" i="2" s="1"/>
  <c r="AL15" i="2"/>
  <c r="AM15" i="2" s="1"/>
  <c r="AL14" i="2"/>
  <c r="AM14" i="2" s="1"/>
  <c r="AL13" i="2"/>
  <c r="AM13" i="2" s="1"/>
  <c r="AL12" i="2"/>
  <c r="AM12" i="2" s="1"/>
  <c r="AL11" i="2"/>
  <c r="AM11" i="2" s="1"/>
  <c r="AL10" i="2"/>
  <c r="AM10" i="2" s="1"/>
  <c r="AL9" i="2"/>
  <c r="AM9" i="2" s="1"/>
  <c r="AL7" i="2"/>
  <c r="AM7" i="2" s="1"/>
  <c r="AL6" i="2"/>
  <c r="AM6" i="2" s="1"/>
  <c r="AL32" i="2"/>
  <c r="AL38" i="2"/>
  <c r="AM38" i="2" s="1"/>
  <c r="AL22" i="2"/>
  <c r="AM22" i="2" s="1"/>
  <c r="AL42" i="2"/>
  <c r="AL26" i="2"/>
  <c r="AM26" i="2" s="1"/>
  <c r="AL8" i="2"/>
  <c r="AM8" i="2" s="1"/>
  <c r="AL18" i="2"/>
  <c r="AM18" i="2" s="1"/>
  <c r="AL4477" i="2"/>
  <c r="AL4968" i="2"/>
  <c r="AL4886" i="2"/>
  <c r="AL4866" i="2"/>
  <c r="AL4859" i="2"/>
  <c r="AL4826" i="2"/>
  <c r="AL4753" i="2"/>
  <c r="AL4702" i="2"/>
  <c r="AL4672" i="2"/>
  <c r="AL4564" i="2"/>
  <c r="AL4542" i="2"/>
  <c r="AL4405" i="2"/>
  <c r="AL4965" i="2"/>
  <c r="AL4945" i="2"/>
  <c r="AL4897" i="2"/>
  <c r="AL4838" i="2"/>
  <c r="AL4833" i="2"/>
  <c r="AL4795" i="2"/>
  <c r="AL4726" i="2"/>
  <c r="AL4718" i="2"/>
  <c r="AL4680" i="2"/>
  <c r="AL4511" i="2"/>
  <c r="AL4420" i="2"/>
  <c r="AL4492" i="2"/>
  <c r="AL4490" i="2"/>
  <c r="AL4473" i="2"/>
  <c r="AL4448" i="2"/>
  <c r="AL4444" i="2"/>
  <c r="AL4376" i="2"/>
  <c r="AL4259" i="2"/>
  <c r="AL4250" i="2"/>
  <c r="AL4199" i="2"/>
  <c r="AL3953" i="2"/>
  <c r="AL3925" i="2"/>
  <c r="AL3774" i="2"/>
  <c r="AL3751" i="2"/>
  <c r="AL3741" i="2"/>
  <c r="AL3630" i="2"/>
  <c r="AL3579" i="2"/>
  <c r="AL4613" i="2"/>
  <c r="AL4595" i="2"/>
  <c r="AL4567" i="2"/>
  <c r="AL4539" i="2"/>
  <c r="AL4505" i="2"/>
  <c r="AL4480" i="2"/>
  <c r="AL4403" i="2"/>
  <c r="AL4360" i="2"/>
  <c r="AL4194" i="2"/>
  <c r="AL4190" i="2"/>
  <c r="AL3928" i="2"/>
  <c r="AL3832" i="2"/>
  <c r="AL3827" i="2"/>
  <c r="AL4544" i="2"/>
  <c r="AL4535" i="2"/>
  <c r="AL4508" i="2"/>
  <c r="AL4474" i="2"/>
  <c r="AL4296" i="2"/>
  <c r="AL4271" i="2"/>
  <c r="AL4258" i="2"/>
  <c r="AL4186" i="2"/>
  <c r="AL4116" i="2"/>
  <c r="AL3885" i="2"/>
  <c r="AL3810" i="2"/>
  <c r="AL3757" i="2"/>
  <c r="AL3710" i="2"/>
  <c r="AL4602" i="2"/>
  <c r="AL4598" i="2"/>
  <c r="AL4562" i="2"/>
  <c r="AL4430" i="2"/>
  <c r="AL4409" i="2"/>
  <c r="AL4407" i="2"/>
  <c r="AL4204" i="2"/>
  <c r="AL4182" i="2"/>
  <c r="AL4129" i="2"/>
  <c r="AL4111" i="2"/>
  <c r="AL3956" i="2"/>
  <c r="AL3950" i="2"/>
  <c r="AL3611" i="2"/>
  <c r="AL3515" i="2"/>
  <c r="AL3494" i="2"/>
  <c r="AL3440" i="2"/>
  <c r="AL3467" i="2"/>
  <c r="AL3320" i="2"/>
  <c r="AL3306" i="2"/>
  <c r="AL3272" i="2"/>
  <c r="AL3439" i="2"/>
  <c r="AL3415" i="2"/>
  <c r="AL3382" i="2"/>
  <c r="AL3310" i="2"/>
  <c r="AL3302" i="2"/>
  <c r="AL3289" i="2"/>
  <c r="AL3285" i="2"/>
  <c r="AL3300" i="2"/>
  <c r="AL2851" i="2"/>
  <c r="AL2835" i="2"/>
  <c r="AL2751" i="2"/>
  <c r="AL2690" i="2"/>
  <c r="AL2364" i="2"/>
  <c r="AL2224" i="2"/>
  <c r="AL2199" i="2"/>
  <c r="AL3307" i="2"/>
  <c r="AL3255" i="2"/>
  <c r="AL3253" i="2"/>
  <c r="AL3221" i="2"/>
  <c r="AL3138" i="2"/>
  <c r="AL2939" i="2"/>
  <c r="AL2653" i="2"/>
  <c r="AL2641" i="2"/>
  <c r="AL2571" i="2"/>
  <c r="AL2545" i="2"/>
  <c r="AL2542" i="2"/>
  <c r="AL2448" i="2"/>
  <c r="AL2430" i="2"/>
  <c r="AL2416" i="2"/>
  <c r="AL2398" i="2"/>
  <c r="AL2366" i="2"/>
  <c r="AL3378" i="2"/>
  <c r="AL3353" i="2"/>
  <c r="AL3328" i="2"/>
  <c r="AL3212" i="2"/>
  <c r="AL2968" i="2"/>
  <c r="AL2767" i="2"/>
  <c r="AL2759" i="2"/>
  <c r="AL2630" i="2"/>
  <c r="AL2606" i="2"/>
  <c r="AL2557" i="2"/>
  <c r="AL2482" i="2"/>
  <c r="AL2473" i="2"/>
  <c r="AL2390" i="2"/>
  <c r="AL2216" i="2"/>
  <c r="AL2124" i="2"/>
  <c r="AL2066" i="2"/>
  <c r="AL2006" i="2"/>
  <c r="AL1633" i="2"/>
  <c r="AL1544" i="2"/>
  <c r="AL1411" i="2"/>
  <c r="AL1183" i="2"/>
  <c r="AL967" i="2"/>
  <c r="AL925" i="2"/>
  <c r="AL998" i="2"/>
  <c r="AL950" i="2"/>
  <c r="AL947" i="2"/>
  <c r="AL179" i="2"/>
  <c r="AL5057"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<sst xmlns="http://schemas.openxmlformats.org/spreadsheetml/2006/main" count="186" uniqueCount="139">
  <si>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</si>
  <si>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</si>
  <si>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</si>
  <si>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</si>
  <si>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</si>
  <si>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</si>
  <si>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</si>
  <si>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</si>
  <si>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</si>
  <si>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</si>
  <si>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</si>
  <si>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</si>
  <si>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</si>
  <si>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</si>
  <si>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</si>
  <si>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</si>
  <si>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</si>
  <si>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</si>
  <si>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</si>
  <si>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</si>
  <si>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</si>
  <si>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</si>
  <si>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</si>
  <si>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</si>
  <si>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</si>
  <si>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</si>
  <si>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</si>
  <si>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</si>
  <si>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</si>
  <si>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</si>
  <si>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</si>
  <si>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</si>
  <si>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</si>
  <si>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</si>
  <si>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</si>
  <si>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</si>
  <si>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</si>
  <si>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</si>
  <si>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</si>
  <si>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</si>
  <si>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</si>
  <si>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</si>
  <si>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</si>
  <si>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</si>
  <si>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</si>
  <si>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</si>
  <si>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</si>
  <si>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</si>
  <si>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</si>
  <si>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</si>
  <si>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</si>
  <si>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</si>
  <si>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</si>
  <si>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</si>
  <si>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</si>
  <si>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</si>
  <si>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</si>
  <si>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</si>
  <si>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</si>
  <si>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</si>
  <si>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</si>
  <si>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</si>
  <si>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</si>
  <si>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</si>
  <si>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</si>
  <si>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</si>
  <si>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</si>
  <si>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</si>
  <si>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</si>
  <si>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</si>
  <si>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</si>
  <si>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</si>
  <si>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</si>
  <si>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</si>
  <si>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</si>
  <si>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</si>
  <si>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</si>
  <si>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</si>
  <si>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</si>
  <si>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</si>
  <si>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</si>
  <si>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</si>
  <si>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</si>
  <si>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</si>
  <si>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</si>
  <si>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</si>
  <si>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</si>
  <si>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</si>
  <si>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</si>
  <si>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</si>
  <si>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</si>
  <si>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</si>
  <si>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</si>
  <si>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Closed Bottom Structure</t>
  </si>
  <si>
    <t>Round Culvert</t>
  </si>
  <si>
    <t>No</t>
  </si>
  <si>
    <t>Deep Fill</t>
  </si>
  <si>
    <t>High</t>
  </si>
  <si>
    <t>MOTI Local</t>
  </si>
  <si>
    <t>Low</t>
  </si>
  <si>
    <t>Yes</t>
  </si>
  <si>
    <t>Medium</t>
  </si>
  <si>
    <t>AI</t>
  </si>
  <si>
    <t>Oval Culvert</t>
  </si>
  <si>
    <t>Spur</t>
  </si>
  <si>
    <t>Other</t>
  </si>
  <si>
    <t>Morice-Owen FSR</t>
  </si>
  <si>
    <t>Open Bottom Structure</t>
  </si>
  <si>
    <t xml:space="preserve">MW </t>
  </si>
  <si>
    <t>White Swan Creek</t>
  </si>
  <si>
    <t>MOF 7552</t>
  </si>
  <si>
    <t>Ford</t>
  </si>
  <si>
    <t>Tributary to Coal Creek</t>
  </si>
  <si>
    <t>Bridge</t>
  </si>
  <si>
    <t>Gramophone Creek</t>
  </si>
  <si>
    <t>Telkwa High Rd</t>
  </si>
  <si>
    <t>AI MW</t>
  </si>
  <si>
    <t>Tributary to Owen Creek</t>
  </si>
  <si>
    <t>MOF 9947</t>
  </si>
  <si>
    <t>Tributary to Buck Creek</t>
  </si>
  <si>
    <t>Buck Flats Rd</t>
  </si>
  <si>
    <t>Sterritt Creek</t>
  </si>
  <si>
    <t xml:space="preserve">Babine Slide FSR </t>
  </si>
  <si>
    <t>Located on deactivated road section.. 17:40:20</t>
  </si>
  <si>
    <t>This crossing was a wooden box culvert at time of last assessment.. 15:17:59</t>
  </si>
  <si>
    <t>Two pipes, one does not have flowing water. Wide channel upstream.  Pipe with flowing water has a significant outlet drop. ST and RB Fiss sites upstream. Ministry of Transportation chris_culvert_id: 1514887, 1514888. 10:26:15</t>
  </si>
  <si>
    <t>Stream dry at time of survey. Inlet is very damaged with large inlet drop due to unravelling pipe. Gravels present upstream.. 10:46:27</t>
  </si>
  <si>
    <t>Other than some water in outlet pool and one small section downstream, the stream is completely dry. Very wide channel downstream, a little narrower upstream. Two pipes, some debris blocking inlet of one pipe. Crossing was in wrong place on map, it was approximately 60m south of the original assessment. Ministry of Transportation chris_culvert_id: 1756173, 1756168. 16:26:32</t>
  </si>
  <si>
    <t>Replace with New Open Bottom Structure</t>
  </si>
  <si>
    <t>Replace Structure with Streambed Simulation CBS</t>
  </si>
  <si>
    <t>00180607</t>
  </si>
  <si>
    <t>Al Irvine</t>
  </si>
  <si>
    <t>250-777-1518</t>
  </si>
  <si>
    <t>al@newgraphenvironment.com</t>
  </si>
  <si>
    <t>00198456</t>
  </si>
  <si>
    <t>Northpac R03780 6</t>
  </si>
  <si>
    <t>Natural barrier at outlet of culvert.  Approx 2 -3 m high near vertical cascade flowing over bedrock into small outlet pool.  High velocity in pipe.  Site was prioritized after 2022 field assessments but survey crew did not recognize the natural barrier as a fish passage issue.  Site revisited in 2023 and no longer considered priority as fish passage will not be rectified by structure replacement. Northpac Forest Licence Inc. listed as tenure holder. 11:04:00</t>
  </si>
  <si>
    <t>Skeena Fish Passage Restoration Planning 2023 - Reassessments</t>
  </si>
  <si>
    <t>skeena_2023_reassessments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</si>
</sst>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sz val="11"/>
      <color rgb="FF000000"/>
      <name val="Calibri"/>
      <family val="2"/>
      <scheme val="minor"/>
    </font>
    <font>
      <u/>
      <sz val="10"/>
      <color rgb="FF0000FF"/>
      <name val="Arial"/>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2">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xf numFmtId="2" fontId="1" fillId="10" borderId="0" xfId="3" applyNumberFormat="1" applyFill="1"/>
    <xf numFmtId="0" fontId="25" fillId="0" borderId="0" xfId="0" applyFont="1"/>
    <xf numFmtId="0" fontId="25" fillId="0" borderId="0" xfId="0" applyFont="1" applyProtection="1">
      <protection locked="0"/>
    </xf>
    <xf numFmtId="49" fontId="25" fillId="0" borderId="0" xfId="0" applyNumberFormat="1" applyFont="1"/>
    <xf numFmtId="0" fontId="26" fillId="0" borderId="0" xfId="0" applyFont="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4">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5"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H16" sqref="H16"/>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s="88" t="s">
        <v>138</v>
      </c>
    </row>
    <row r="5" spans="1:20">
      <c r="A5" s="4" t="s">
        <v>58</v>
      </c>
      <c r="B5" s="88" t="s">
        <v>137</v>
      </c>
    </row>
    <row r="6" spans="1:20">
      <c r="A6" s="4"/>
      <c r="B6" s="89"/>
    </row>
    <row r="7" spans="1:20">
      <c r="A7" s="4" t="s">
        <v>86</v>
      </c>
      <c r="B7" s="90" t="s">
        <v>130</v>
      </c>
    </row>
    <row r="8" spans="1:20">
      <c r="A8" s="4" t="s">
        <v>73</v>
      </c>
      <c r="B8" s="88" t="s">
        <v>131</v>
      </c>
    </row>
    <row r="9" spans="1:20">
      <c r="A9" s="4" t="s">
        <v>74</v>
      </c>
      <c r="B9" s="88" t="s">
        <v>132</v>
      </c>
    </row>
    <row r="10" spans="1:20">
      <c r="A10" s="4" t="s">
        <v>75</v>
      </c>
      <c r="B10" s="80" t="s">
        <v>133</v>
      </c>
    </row>
    <row r="11" spans="1:20">
      <c r="A11" s="4"/>
      <c r="B11" s="89"/>
    </row>
    <row r="12" spans="1:20">
      <c r="A12" s="4" t="s">
        <v>36</v>
      </c>
      <c r="B12" s="90" t="s">
        <v>134</v>
      </c>
    </row>
    <row r="13" spans="1:20">
      <c r="A13" s="4" t="s">
        <v>37</v>
      </c>
      <c r="B13" s="88" t="s">
        <v>131</v>
      </c>
    </row>
    <row r="14" spans="1:20">
      <c r="A14" s="4" t="s">
        <v>38</v>
      </c>
      <c r="B14" s="88" t="s">
        <v>132</v>
      </c>
    </row>
    <row r="15" spans="1:20">
      <c r="A15" s="4" t="s">
        <v>39</v>
      </c>
      <c r="B15" s="91" t="s">
        <v>133</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3" priority="1" stopIfTrue="1">
      <formula>LEN(TRIM(B17))=0</formula>
    </cfRule>
  </conditionalFormatting>
  <dataValidations count="2">
    <dataValidation type="list" allowBlank="1" showInputMessage="1" showErrorMessage="1" sqref="B18" xr:uid="{00000000-0002-0000-0100-000000000000}">
      <formula1>"FIA,LBIS,MOE,MFLNRO,MOTI,MEM,BCHYDRO,BCOGC,OTHER"</formula1>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s>
  <hyperlinks>
    <hyperlink ref="B10" r:id="rId1" display="mailto:al@newgraphenvironment.com" xr:uid="{69706460-108D-E04F-911B-EE973939E1DE}"/>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B10" sqref="B10"/>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45188</v>
      </c>
      <c r="B5" s="58">
        <v>8518</v>
      </c>
      <c r="D5" s="10" t="s">
        <v>108</v>
      </c>
      <c r="E5" s="11">
        <v>9</v>
      </c>
      <c r="F5" s="39">
        <v>605028</v>
      </c>
      <c r="G5" s="39">
        <v>6069687</v>
      </c>
      <c r="H5" s="11" t="s">
        <v>109</v>
      </c>
      <c r="I5" s="11" t="s">
        <v>104</v>
      </c>
      <c r="J5" s="33"/>
      <c r="K5" s="11" t="s">
        <v>110</v>
      </c>
      <c r="L5" s="10" t="s">
        <v>105</v>
      </c>
      <c r="M5" s="10" t="s">
        <v>111</v>
      </c>
      <c r="N5" s="87"/>
      <c r="O5" s="87"/>
      <c r="P5" s="85"/>
      <c r="Q5" s="85"/>
      <c r="R5" s="85"/>
      <c r="S5" s="85"/>
      <c r="T5" s="85"/>
      <c r="U5" s="85"/>
      <c r="V5" s="85"/>
      <c r="W5" s="85"/>
      <c r="X5" s="85"/>
      <c r="Y5" s="85"/>
      <c r="Z5" s="85"/>
      <c r="AA5" s="85"/>
      <c r="AB5" s="10" t="s">
        <v>95</v>
      </c>
      <c r="AC5" s="10" t="s">
        <v>95</v>
      </c>
      <c r="AD5" s="85"/>
      <c r="AE5" s="85"/>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83" t="s">
        <v>123</v>
      </c>
    </row>
    <row r="6" spans="1:42" ht="16">
      <c r="A6" s="59">
        <v>45187</v>
      </c>
      <c r="B6" s="58">
        <v>8529</v>
      </c>
      <c r="D6" s="10" t="s">
        <v>102</v>
      </c>
      <c r="E6" s="11">
        <v>9</v>
      </c>
      <c r="F6" s="39">
        <v>582405</v>
      </c>
      <c r="G6" s="39">
        <v>6075434</v>
      </c>
      <c r="H6" s="10" t="s">
        <v>112</v>
      </c>
      <c r="I6" s="11" t="s">
        <v>104</v>
      </c>
      <c r="J6" s="33"/>
      <c r="K6" s="10" t="s">
        <v>110</v>
      </c>
      <c r="L6" s="10" t="s">
        <v>107</v>
      </c>
      <c r="M6" s="10" t="s">
        <v>113</v>
      </c>
      <c r="N6" s="81">
        <v>9</v>
      </c>
      <c r="O6" s="81">
        <v>5</v>
      </c>
      <c r="P6" s="85"/>
      <c r="Q6" s="85"/>
      <c r="R6" s="85"/>
      <c r="S6" s="85"/>
      <c r="T6" s="85"/>
      <c r="U6" s="85"/>
      <c r="V6" s="85"/>
      <c r="W6" s="85"/>
      <c r="X6" s="85"/>
      <c r="Y6" s="85"/>
      <c r="Z6" s="85"/>
      <c r="AA6" s="85"/>
      <c r="AB6" s="10" t="s">
        <v>95</v>
      </c>
      <c r="AC6" s="10" t="s">
        <v>95</v>
      </c>
      <c r="AD6" s="85"/>
      <c r="AE6" s="85"/>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5"/>
      <c r="AO6" s="85"/>
      <c r="AP6" s="83" t="s">
        <v>124</v>
      </c>
    </row>
    <row r="7" spans="1:42" ht="16">
      <c r="A7" s="59">
        <v>45193</v>
      </c>
      <c r="B7" s="58">
        <v>58067</v>
      </c>
      <c r="D7" s="10" t="s">
        <v>92</v>
      </c>
      <c r="E7" s="11">
        <v>9</v>
      </c>
      <c r="F7" s="39">
        <v>609734</v>
      </c>
      <c r="G7" s="39">
        <v>6092877</v>
      </c>
      <c r="H7" s="10" t="s">
        <v>114</v>
      </c>
      <c r="I7" s="11" t="s">
        <v>115</v>
      </c>
      <c r="J7" s="33"/>
      <c r="K7" s="10" t="s">
        <v>98</v>
      </c>
      <c r="L7" s="10" t="s">
        <v>93</v>
      </c>
      <c r="M7" s="10" t="s">
        <v>103</v>
      </c>
      <c r="N7" s="21">
        <v>4.05</v>
      </c>
      <c r="O7" s="21">
        <v>12.2</v>
      </c>
      <c r="P7" s="10" t="s">
        <v>95</v>
      </c>
      <c r="Q7" s="85"/>
      <c r="R7" s="10" t="s">
        <v>95</v>
      </c>
      <c r="S7" s="10" t="s">
        <v>95</v>
      </c>
      <c r="T7" s="85"/>
      <c r="U7" s="10">
        <v>1.2</v>
      </c>
      <c r="V7" s="10">
        <v>0.3</v>
      </c>
      <c r="W7" s="10">
        <v>0.8</v>
      </c>
      <c r="X7" s="10" t="s">
        <v>95</v>
      </c>
      <c r="Y7" s="10">
        <v>2</v>
      </c>
      <c r="Z7" s="10">
        <v>6.1</v>
      </c>
      <c r="AA7" s="10">
        <v>5</v>
      </c>
      <c r="AB7" s="10" t="s">
        <v>95</v>
      </c>
      <c r="AC7" s="10" t="s">
        <v>100</v>
      </c>
      <c r="AD7" s="10" t="s">
        <v>96</v>
      </c>
      <c r="AE7" s="10" t="s">
        <v>97</v>
      </c>
      <c r="AF7" s="20">
        <f t="shared" si="0"/>
        <v>1.5061728395061729</v>
      </c>
      <c r="AG7" s="13">
        <f t="shared" si="1"/>
        <v>0</v>
      </c>
      <c r="AH7" s="7">
        <f t="shared" si="2"/>
        <v>10</v>
      </c>
      <c r="AI7" s="7">
        <f t="shared" si="3"/>
        <v>10</v>
      </c>
      <c r="AJ7" s="7">
        <f t="shared" si="4"/>
        <v>5</v>
      </c>
      <c r="AK7" s="7">
        <f t="shared" si="5"/>
        <v>6</v>
      </c>
      <c r="AL7" s="12">
        <f t="shared" si="6"/>
        <v>31</v>
      </c>
      <c r="AM7" s="14" t="str">
        <f t="shared" si="7"/>
        <v>Barrier</v>
      </c>
      <c r="AN7" s="10" t="s">
        <v>128</v>
      </c>
      <c r="AO7" s="10">
        <v>15</v>
      </c>
      <c r="AP7" s="10" t="s">
        <v>125</v>
      </c>
    </row>
    <row r="8" spans="1:42" ht="16">
      <c r="A8" s="59">
        <v>45182</v>
      </c>
      <c r="B8" s="79">
        <v>197365</v>
      </c>
      <c r="D8" s="10" t="s">
        <v>116</v>
      </c>
      <c r="E8" s="11">
        <v>9</v>
      </c>
      <c r="F8" s="39">
        <v>643614</v>
      </c>
      <c r="G8" s="39">
        <v>6003253</v>
      </c>
      <c r="H8" s="10" t="s">
        <v>117</v>
      </c>
      <c r="I8" s="11" t="s">
        <v>106</v>
      </c>
      <c r="J8" s="78">
        <v>34</v>
      </c>
      <c r="K8" s="82" t="s">
        <v>118</v>
      </c>
      <c r="L8" s="10" t="s">
        <v>93</v>
      </c>
      <c r="M8" s="10" t="s">
        <v>94</v>
      </c>
      <c r="N8" s="21">
        <v>0.9</v>
      </c>
      <c r="O8" s="21">
        <v>17.5</v>
      </c>
      <c r="P8" s="10" t="s">
        <v>95</v>
      </c>
      <c r="Q8" s="85"/>
      <c r="R8" s="10" t="s">
        <v>95</v>
      </c>
      <c r="S8" s="10" t="s">
        <v>95</v>
      </c>
      <c r="T8" s="85"/>
      <c r="U8" s="10">
        <v>1</v>
      </c>
      <c r="V8" s="10">
        <v>0.3</v>
      </c>
      <c r="W8" s="10">
        <v>0.5</v>
      </c>
      <c r="X8" s="10" t="s">
        <v>100</v>
      </c>
      <c r="Y8" s="10">
        <v>3</v>
      </c>
      <c r="Z8" s="10">
        <v>1.5</v>
      </c>
      <c r="AA8" s="10">
        <v>3</v>
      </c>
      <c r="AB8" s="10" t="s">
        <v>95</v>
      </c>
      <c r="AC8" s="10" t="s">
        <v>95</v>
      </c>
      <c r="AD8" s="10" t="s">
        <v>96</v>
      </c>
      <c r="AE8" s="10" t="s">
        <v>99</v>
      </c>
      <c r="AF8" s="20">
        <f t="shared" si="0"/>
        <v>1.6666666666666665</v>
      </c>
      <c r="AG8" s="13">
        <f t="shared" si="1"/>
        <v>3</v>
      </c>
      <c r="AH8" s="7">
        <f t="shared" si="2"/>
        <v>10</v>
      </c>
      <c r="AI8" s="7">
        <f t="shared" si="3"/>
        <v>10</v>
      </c>
      <c r="AJ8" s="7">
        <f t="shared" si="4"/>
        <v>10</v>
      </c>
      <c r="AK8" s="7">
        <f t="shared" si="5"/>
        <v>6</v>
      </c>
      <c r="AL8" s="12">
        <f t="shared" si="6"/>
        <v>39</v>
      </c>
      <c r="AM8" s="14" t="str">
        <f t="shared" si="7"/>
        <v>Barrier</v>
      </c>
      <c r="AN8" s="10" t="s">
        <v>129</v>
      </c>
      <c r="AO8" s="10">
        <v>3</v>
      </c>
      <c r="AP8" s="10" t="s">
        <v>126</v>
      </c>
    </row>
    <row r="9" spans="1:42" ht="16">
      <c r="A9" s="59">
        <v>45181</v>
      </c>
      <c r="B9" s="58">
        <v>197640</v>
      </c>
      <c r="D9" s="10" t="s">
        <v>92</v>
      </c>
      <c r="E9" s="11">
        <v>9</v>
      </c>
      <c r="F9" s="39">
        <v>654328</v>
      </c>
      <c r="G9" s="39">
        <v>6012327</v>
      </c>
      <c r="H9" s="83" t="s">
        <v>119</v>
      </c>
      <c r="I9" s="11" t="s">
        <v>120</v>
      </c>
      <c r="J9" s="33"/>
      <c r="K9" s="82" t="s">
        <v>98</v>
      </c>
      <c r="L9" s="10" t="s">
        <v>93</v>
      </c>
      <c r="M9" s="10" t="s">
        <v>94</v>
      </c>
      <c r="N9" s="21">
        <v>3</v>
      </c>
      <c r="O9" s="21">
        <v>12</v>
      </c>
      <c r="P9" s="10" t="s">
        <v>95</v>
      </c>
      <c r="Q9" s="85"/>
      <c r="R9" s="10" t="s">
        <v>95</v>
      </c>
      <c r="S9" s="10" t="s">
        <v>95</v>
      </c>
      <c r="T9" s="85"/>
      <c r="U9" s="10">
        <v>0.7</v>
      </c>
      <c r="V9" s="10">
        <v>0.6</v>
      </c>
      <c r="W9" s="10">
        <v>0.9</v>
      </c>
      <c r="X9" s="10" t="s">
        <v>95</v>
      </c>
      <c r="Y9" s="10">
        <v>1.5</v>
      </c>
      <c r="Z9" s="10">
        <v>4.2</v>
      </c>
      <c r="AA9" s="10">
        <v>3</v>
      </c>
      <c r="AB9" s="10" t="s">
        <v>95</v>
      </c>
      <c r="AC9" s="10" t="s">
        <v>95</v>
      </c>
      <c r="AD9" s="10" t="s">
        <v>96</v>
      </c>
      <c r="AE9" s="10" t="s">
        <v>97</v>
      </c>
      <c r="AF9" s="20">
        <f t="shared" si="0"/>
        <v>1.4000000000000001</v>
      </c>
      <c r="AG9" s="13">
        <f t="shared" si="1"/>
        <v>0</v>
      </c>
      <c r="AH9" s="7">
        <f t="shared" si="2"/>
        <v>10</v>
      </c>
      <c r="AI9" s="7">
        <f t="shared" si="3"/>
        <v>10</v>
      </c>
      <c r="AJ9" s="7">
        <f t="shared" si="4"/>
        <v>5</v>
      </c>
      <c r="AK9" s="7">
        <f t="shared" si="5"/>
        <v>6</v>
      </c>
      <c r="AL9" s="12">
        <f t="shared" si="6"/>
        <v>31</v>
      </c>
      <c r="AM9" s="14" t="str">
        <f t="shared" si="7"/>
        <v>Barrier</v>
      </c>
      <c r="AN9" s="10" t="s">
        <v>128</v>
      </c>
      <c r="AO9" s="10">
        <v>15</v>
      </c>
      <c r="AP9" s="10" t="s">
        <v>127</v>
      </c>
    </row>
    <row r="10" spans="1:42" ht="16">
      <c r="A10" s="59">
        <v>45190</v>
      </c>
      <c r="B10" s="58">
        <v>198225</v>
      </c>
      <c r="D10" s="10" t="s">
        <v>92</v>
      </c>
      <c r="E10" s="11">
        <v>9</v>
      </c>
      <c r="F10" s="39">
        <v>584880</v>
      </c>
      <c r="G10" s="39">
        <v>6152488</v>
      </c>
      <c r="H10" s="83" t="s">
        <v>121</v>
      </c>
      <c r="I10" s="11" t="s">
        <v>122</v>
      </c>
      <c r="J10" s="33"/>
      <c r="K10" s="10" t="s">
        <v>135</v>
      </c>
      <c r="L10" s="10" t="s">
        <v>93</v>
      </c>
      <c r="M10" s="10" t="s">
        <v>94</v>
      </c>
      <c r="N10" s="21">
        <v>2.4</v>
      </c>
      <c r="O10" s="21">
        <v>30</v>
      </c>
      <c r="P10" s="10" t="s">
        <v>95</v>
      </c>
      <c r="Q10" s="86"/>
      <c r="R10" s="10" t="s">
        <v>95</v>
      </c>
      <c r="S10" s="10" t="s">
        <v>95</v>
      </c>
      <c r="T10" s="86"/>
      <c r="U10" s="21">
        <v>3</v>
      </c>
      <c r="V10" s="10">
        <v>0.5</v>
      </c>
      <c r="W10" s="21">
        <v>2</v>
      </c>
      <c r="X10" s="10" t="s">
        <v>95</v>
      </c>
      <c r="Y10" s="21">
        <v>3.5</v>
      </c>
      <c r="Z10" s="21">
        <v>4.0999999999999996</v>
      </c>
      <c r="AA10" s="10">
        <v>4</v>
      </c>
      <c r="AB10" s="10" t="s">
        <v>95</v>
      </c>
      <c r="AC10" s="10" t="s">
        <v>95</v>
      </c>
      <c r="AD10" s="10" t="s">
        <v>96</v>
      </c>
      <c r="AE10" s="10" t="s">
        <v>101</v>
      </c>
      <c r="AF10" s="20">
        <f t="shared" si="0"/>
        <v>1.7083333333333333</v>
      </c>
      <c r="AG10" s="13">
        <f t="shared" si="1"/>
        <v>6</v>
      </c>
      <c r="AH10" s="7">
        <f t="shared" si="2"/>
        <v>10</v>
      </c>
      <c r="AI10" s="7">
        <f t="shared" si="3"/>
        <v>10</v>
      </c>
      <c r="AJ10" s="7">
        <f t="shared" si="4"/>
        <v>10</v>
      </c>
      <c r="AK10" s="7">
        <f t="shared" si="5"/>
        <v>6</v>
      </c>
      <c r="AL10" s="12">
        <f t="shared" si="6"/>
        <v>42</v>
      </c>
      <c r="AM10" s="14" t="str">
        <f t="shared" si="7"/>
        <v>Barrier</v>
      </c>
      <c r="AN10" s="10" t="s">
        <v>128</v>
      </c>
      <c r="AO10" s="21">
        <v>15</v>
      </c>
      <c r="AP10" s="10" t="s">
        <v>136</v>
      </c>
    </row>
    <row r="11" spans="1:42">
      <c r="A11" s="59"/>
      <c r="C11" s="83"/>
      <c r="E11" s="10"/>
      <c r="F11" s="84"/>
      <c r="G11" s="84"/>
      <c r="H11" s="83"/>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A1dv+lKA/aOzLX4b/9r4vVH1BCE7Q56dWVPdOH6a3iqPDs7CTf3biNzc7IngZBVzph44kM8enjD14a4mG9CZyg==" saltValue="Faj6uUD6MuhEpHQiG5z7G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2 Q42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2 N42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5:M47 M43 M33:M41 M7:M31" xr:uid="{570CFEBD-71A2-B74B-A210-955F21DBB481}">
      <formula1>"Round Culvert,Oval Culvert,Concrete Box"</formula1>
    </dataValidation>
    <dataValidation type="decimal" allowBlank="1" showInputMessage="1" showErrorMessage="1" errorTitle="Invalid Diamter or Span" error="The Diameter or Span entered is invalid. Diameter or Span must be &gt; 0 and &lt; 300" sqref="N45:N47 N43 N33:N41 N5 N7:N31" xr:uid="{A9771709-3646-524F-8663-D11C7B858E7E}">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Q33" xr:uid="{5C488EED-719F-294D-9215-76080A5F0FE7}">
      <formula1>0.01</formula1>
      <formula2>1.59</formula2>
    </dataValidation>
    <dataValidation type="decimal" allowBlank="1" showInputMessage="1" showErrorMessage="1" errorTitle="Invalid value entered" error="The Average Depth Embededdment you entered is invalid. The Average Depth Embededdment must be &lt;= 0.74 and &gt;= 0.01" sqref="Q37" xr:uid="{28BFDF95-60EE-F34B-9D09-7D01A67EF8A4}">
      <formula1>0.01</formula1>
      <formula2>0.74</formula2>
    </dataValidation>
    <dataValidation type="decimal" allowBlank="1" showInputMessage="1" showErrorMessage="1" errorTitle="Invalid value entered" error="The Average Depth Embededdment you entered is invalid. The Average Depth Embededdment must be &lt;= 1.99 and &gt;= 0.01" sqref="Q17" xr:uid="{F5AEA0EE-514A-9E49-B899-06DED2ADAD99}">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3 Q39 Q35 Q30 Q8" xr:uid="{65AB1A12-4B6F-9A43-869E-90C15E7A7230}">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11" xr:uid="{F03F3E1B-90F8-C244-A31F-77A3ED2C3B59}">
      <formula1>0.01</formula1>
      <formula2>1.79</formula2>
    </dataValidation>
    <dataValidation type="decimal" allowBlank="1" showInputMessage="1" showErrorMessage="1" errorTitle="Invalid value entered" error="The Average Depth Embededdment you entered is invalid. The Average Depth Embededdment must be &lt;= 1.49 and &gt;= 0.01" sqref="Q31 Q29 Q24 Q15:Q16 Q12:Q13" xr:uid="{F8D9B2F6-EA5E-DB49-8541-46FB10DEE61F}">
      <formula1>0.01</formula1>
      <formula2>1.49</formula2>
    </dataValidation>
    <dataValidation type="decimal" allowBlank="1" showInputMessage="1" showErrorMessage="1" errorTitle="Invalid value entered" error="The Average Depth Embededdment you entered is invalid. The Average Depth Embededdment must be &lt;= 1.69 and &gt;= 0.01" sqref="Q14" xr:uid="{977CEA14-EB66-3C45-A47A-3CD20A87A21E}">
      <formula1>0.01</formula1>
      <formula2>1.69</formula2>
    </dataValidation>
    <dataValidation type="decimal" allowBlank="1" showInputMessage="1" showErrorMessage="1" errorTitle="Invalid value entered" error="The Average Depth Embededdment you entered is invalid. The Average Depth Embededdment must be &lt;= 3.09 and &gt;= 0.01" sqref="Q18" xr:uid="{79F3526F-6BBB-1942-AD79-FE10689A5768}">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19 Q47 Q40 Q28" xr:uid="{DCDDDB17-0076-A849-9456-D7AE67D044FB}">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20" xr:uid="{A73BEAAB-0C63-034C-A342-2F7E6FF06AD8}">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21" xr:uid="{7FB13CDD-5014-E04B-93F5-D48F095ABCFC}">
      <formula1>0.01</formula1>
      <formula2>4.79</formula2>
    </dataValidation>
    <dataValidation type="decimal" allowBlank="1" showInputMessage="1" showErrorMessage="1" errorTitle="Invalid value entered" error="The Average Depth Embededdment you entered is invalid. The Average Depth Embededdment must be &lt;= 4.99 and &gt;= 0.01" sqref="Q22 Q44" xr:uid="{73296426-7B77-EB4B-8E45-2E91462FB541}">
      <formula1>0.01</formula1>
      <formula2>4.99</formula2>
    </dataValidation>
    <dataValidation type="decimal" allowBlank="1" showInputMessage="1" showErrorMessage="1" errorTitle="Invalid value entered" error="The Average Depth Embededdment you entered is invalid. The Average Depth Embededdment must be &lt;= 0.59 and &gt;= 0.01" sqref="Q25 Q46 Q43 Q27" xr:uid="{B6F2D605-6F05-A942-8F82-6CE9FBAE2195}">
      <formula1>0.01</formula1>
      <formula2>0.59</formula2>
    </dataValidation>
    <dataValidation type="decimal" allowBlank="1" showInputMessage="1" showErrorMessage="1" errorTitle="Invalid value entered" error="The Average Depth Embededdment you entered is invalid. The Average Depth Embededdment must be &lt;= 3.49 and &gt;= 0.01" sqref="Q26" xr:uid="{FFA78021-21F5-9544-A388-6AD65B155CE8}">
      <formula1>0.01</formula1>
      <formula2>3.49</formula2>
    </dataValidation>
    <dataValidation type="list" allowBlank="1" showInputMessage="1" showErrorMessage="1" errorTitle="Invalid value entered" error="The crossing subtype is not compatible with a crossing type of Other" sqref="M32 M42 M5" xr:uid="{FE79A2C5-2369-F545-8CAF-06AEDB69E600}">
      <formula1>"Ford"</formula1>
    </dataValidation>
    <dataValidation type="decimal" allowBlank="1" showInputMessage="1" showErrorMessage="1" errorTitle="Invalid value entered" error="The Average Depth Embededdment you entered is invalid. The Average Depth Embededdment must be &lt;= 1.19 and &gt;= 0.01" sqref="Q34 Q41 Q36" xr:uid="{AA95FE8F-1A52-A342-93C8-318DF7C67044}">
      <formula1>0.01</formula1>
      <formula2>1.19</formula2>
    </dataValidation>
    <dataValidation type="decimal" allowBlank="1" showInputMessage="1" showErrorMessage="1" errorTitle="Invalid value entered" error="The Average Depth Embededdment you entered is invalid. The Average Depth Embededdment must be &lt;= 1.29 and &gt;= 0.01" sqref="Q38" xr:uid="{68414F7B-07A2-4D40-95B6-505DB43C1A35}">
      <formula1>0.01</formula1>
      <formula2>1.29</formula2>
    </dataValidation>
    <dataValidation type="list" allowBlank="1" showInputMessage="1" showErrorMessage="1" errorTitle="Invalid value entered" error="The crossing subtype is not compatible with a crossing type of Open Bottom Structure" sqref="M44 M6" xr:uid="{90E7A2FD-9E6A-CF4A-8CBA-00A40FAAFA43}">
      <formula1>"Bridge, Pipe Arch, Wood Box Culvert"</formula1>
    </dataValidation>
    <dataValidation type="decimal" allowBlank="1" showInputMessage="1" showErrorMessage="1" errorTitle="Invalid Diamter or Span" error="The Diameter or Span entered is invalid. Diameter or Span must be &gt; 0 and &lt; 100" sqref="N44 N6" xr:uid="{BC5457A6-DDBB-1C49-8EEF-D3A0EA324681}">
      <formula1>0.01</formula1>
      <formula2>100</formula2>
    </dataValidation>
    <dataValidation type="decimal" allowBlank="1" showInputMessage="1" showErrorMessage="1" errorTitle="Invalid value entered" error="The Average Depth Embededdment you entered is invalid. The Average Depth Embededdment must be &lt;= 1.09 and &gt;= 0.01" sqref="Q45" xr:uid="{F0CF43FA-4E61-3346-B54B-790529CBA749}">
      <formula1>0.01</formula1>
      <formula2>1.09</formula2>
    </dataValidation>
    <dataValidation type="decimal" allowBlank="1" showInputMessage="1" showErrorMessage="1" errorTitle="Invalid value entered" error="The Average Depth Embededdment you entered is invalid. The Average Depth Embededdment must be &lt;= 8.99 and &gt;= 0.01" sqref="Q6" xr:uid="{9B091D57-E672-0548-A2C3-9F2849D0AAAB}">
      <formula1>0.01</formula1>
      <formula2>8.99</formula2>
    </dataValidation>
    <dataValidation type="decimal" allowBlank="1" showInputMessage="1" showErrorMessage="1" errorTitle="Invalid value entered" error="The Average Depth Embededdment you entered is invalid. The Average Depth Embededdment must be &lt;= 4.04 and &gt;= 0.01" sqref="Q7" xr:uid="{78F31F4C-1469-FD43-96AC-957476BED731}">
      <formula1>0.01</formula1>
      <formula2>4.04</formula2>
    </dataValidation>
    <dataValidation type="decimal" allowBlank="1" showInputMessage="1" showErrorMessage="1" errorTitle="Invalid value entered" error="The Average Depth Embededdment you entered is invalid. The Average Depth Embededdment must be &lt;= 2.99 and &gt;= 0.01" sqref="Q9" xr:uid="{D689DEAE-0E6E-3C41-9D84-0C44852D19DD}">
      <formula1>0.01</formula1>
      <formula2>2.99</formula2>
    </dataValidation>
    <dataValidation type="decimal" allowBlank="1" showInputMessage="1" showErrorMessage="1" errorTitle="Invalid value entered" error="The Average Depth Embededdment you entered is invalid. The Average Depth Embededdment must be &lt;= 2.39 and &gt;= 0.01" sqref="Q10" xr:uid="{E2A19ACD-FCEE-D94E-BEE5-10B31A849476}">
      <formula1>0.01</formula1>
      <formula2>2.39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2024-04-05T15:29:32Z</dcterms:modified>
</cp:coreProperties>
</file>