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30988C8F-28B6-E840-9638-F1BA7EB580C1}" xr6:coauthVersionLast="47" xr6:coauthVersionMax="47" xr10:uidLastSave="{00000000-0000-0000-0000-000000000000}"/>
  <bookViews>
    <workbookView xWindow="-72400" yWindow="-88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89" i="2"/>
  <c r="AL81" i="2"/>
  <c r="AL73" i="2"/>
  <c r="AL65" i="2"/>
  <c r="AL57" i="2"/>
  <c r="AL49" i="2"/>
  <c r="AL33" i="2"/>
  <c r="AM33" i="2" s="1"/>
  <c r="AL75" i="2"/>
  <c r="AL67" i="2"/>
  <c r="AL59" i="2"/>
  <c r="AL51" i="2"/>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M11" i="2" s="1"/>
  <c r="AL14" i="2"/>
  <c r="AM14" i="2" s="1"/>
  <c r="AL27" i="2"/>
  <c r="AM27" i="2" s="1"/>
  <c r="AL25" i="2"/>
  <c r="AM25" i="2" s="1"/>
  <c r="AL24" i="2"/>
  <c r="AM24" i="2" s="1"/>
  <c r="AL23" i="2"/>
  <c r="AM23" i="2" s="1"/>
  <c r="AL21" i="2"/>
  <c r="AM21" i="2" s="1"/>
  <c r="AL20" i="2"/>
  <c r="AM20" i="2" s="1"/>
  <c r="AL19" i="2"/>
  <c r="AM19" i="2" s="1"/>
  <c r="AL17" i="2"/>
  <c r="AM17" i="2" s="1"/>
  <c r="AL16" i="2"/>
  <c r="AM16" i="2" s="1"/>
  <c r="AL15" i="2"/>
  <c r="AM15" i="2" s="1"/>
  <c r="AL13" i="2"/>
  <c r="AM13" i="2" s="1"/>
  <c r="AL12" i="2"/>
  <c r="AM12"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<sst xmlns="http://schemas.openxmlformats.org/spreadsheetml/2006/main" count="248" uniqueCount="141">
  <si>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</si>
  <si>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</si>
  <si>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</si>
  <si>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</si>
  <si>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</si>
  <si>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</si>
  <si>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</si>
  <si>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</si>
  <si>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</si>
  <si>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</si>
  <si>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</si>
  <si>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</si>
  <si>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</si>
  <si>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</si>
  <si>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</si>
  <si>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</si>
  <si>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</si>
  <si>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</si>
  <si>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</si>
  <si>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</si>
  <si>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</si>
  <si>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</si>
  <si>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</si>
  <si>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</si>
  <si>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</si>
  <si>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</si>
  <si>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</si>
  <si>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</si>
  <si>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</si>
  <si>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</si>
  <si>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</si>
  <si>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</si>
  <si>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</si>
  <si>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</si>
  <si>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</si>
  <si>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</si>
  <si>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</si>
  <si>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</si>
  <si>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</si>
  <si>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</si>
  <si>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</si>
  <si>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</si>
  <si>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</si>
  <si>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</si>
  <si>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</si>
  <si>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</si>
  <si>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</si>
  <si>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</si>
  <si>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</si>
  <si>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</si>
  <si>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</si>
  <si>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</si>
  <si>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</si>
  <si>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</si>
  <si>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</si>
  <si>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</si>
  <si>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</si>
  <si>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</si>
  <si>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</si>
  <si>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</si>
  <si>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</si>
  <si>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</si>
  <si>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</si>
  <si>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</si>
  <si>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</si>
  <si>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</si>
  <si>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</si>
  <si>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</si>
  <si>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</si>
  <si>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</si>
  <si>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</si>
  <si>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</si>
  <si>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</si>
  <si>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</si>
  <si>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</si>
  <si>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</si>
  <si>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</si>
  <si>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</si>
  <si>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</si>
  <si>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</si>
  <si>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</si>
  <si>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</si>
  <si>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</si>
  <si>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</si>
  <si>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</si>
  <si>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</si>
  <si>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</si>
  <si>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</si>
  <si>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</si>
  <si>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</si>
  <si>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</si>
  <si>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</si>
  <si>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</si>
  <si>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</si>
  <si>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</si>
  <si>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</si>
  <si>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</si>
  <si>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</si>
  <si>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Yes</t>
  </si>
  <si>
    <t>Medium</t>
  </si>
  <si>
    <t>AI</t>
  </si>
  <si>
    <t>Spur</t>
  </si>
  <si>
    <t>Tributary to McDonell Lake</t>
  </si>
  <si>
    <t>Dennis West FSR</t>
  </si>
  <si>
    <t>Wetzinkwa Community Forest Corporation</t>
  </si>
  <si>
    <t>BCTS R22433</t>
  </si>
  <si>
    <t>Tributary to Tagit Creek</t>
  </si>
  <si>
    <t>9946-27 Rd</t>
  </si>
  <si>
    <t>West Fraser Mills Ltd.</t>
  </si>
  <si>
    <t xml:space="preserve">Tributary to McDonell Lake </t>
  </si>
  <si>
    <t>MW TP VJ</t>
  </si>
  <si>
    <t>Tributary to Coal Creek</t>
  </si>
  <si>
    <t>McDonell FSR</t>
  </si>
  <si>
    <t>MOF 7552</t>
  </si>
  <si>
    <t>MW JO RB</t>
  </si>
  <si>
    <t xml:space="preserve">McDonell Lake FSR </t>
  </si>
  <si>
    <t>AR AF</t>
  </si>
  <si>
    <t>McDonell Lake FSR</t>
  </si>
  <si>
    <t>MOF 9946</t>
  </si>
  <si>
    <t>Pipe is in good condition. Nice habitat upstream and downstream. Very good flow for time of year. Dolly Varden captured upstream and downstream of crossing.. 13:30:02</t>
  </si>
  <si>
    <t>Small flowing stream. Fish captured in minnow traps in 2022.. 09:57:03</t>
  </si>
  <si>
    <t>Small trickle in stream,  very little flowing water. Stream runs halfway down culvert from inlet and then flows through holes underneath culvert. Stream gets wider upstream of crossing. Fish caught in the past above and below culvert. Deep outlet pool.. 09:49:51</t>
  </si>
  <si>
    <t>2 round culverts, one is not functional and was installed higher above stream channel. Culvert slope was estimated.CT observed in stream and historic CT FISS downstream.. 13:34:15</t>
  </si>
  <si>
    <t>Numerous fish spotted in outlet pool. Low flow but water present upstream and downstream.. 11:10:01</t>
  </si>
  <si>
    <t>Moderate value habitat. Habitat confirmation conducted on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Cutthroat are known to be upstream of crossing.. 12:12:45</t>
  </si>
  <si>
    <t>Replace with New Open Bottom Structure</t>
  </si>
  <si>
    <t>Replace Structure with Streambed Simulation CBS</t>
  </si>
  <si>
    <t>00180607</t>
  </si>
  <si>
    <t>Al Irvine</t>
  </si>
  <si>
    <t>250-777-1518</t>
  </si>
  <si>
    <t>al@newgraphenvironment.com</t>
  </si>
  <si>
    <t>00198456</t>
  </si>
  <si>
    <t>skeena_2023_Phase2</t>
  </si>
  <si>
    <t>Tributary to Zymoetz River</t>
  </si>
  <si>
    <t>Nice stream with good flow and abundant gravel. Pipe is very under sized and appears to have been dredged at the upstream end to clear it. Fish observed in outlet pool.. 18:36:33</t>
  </si>
  <si>
    <t>Tributary to Houston Tommy Creek</t>
  </si>
  <si>
    <t>Canfor R07549</t>
  </si>
  <si>
    <t>Very good habitat upstream and downstream. Culvert is a little bent in the middle. Big outlet drop, fish spotted in outlet pool. Moderate flowing stream.. 14:35:45</t>
  </si>
  <si>
    <t>Holland Rd</t>
  </si>
  <si>
    <t>Deep outlet pool, culvert may be undersized. Relatively wide stream with good habitat, dolly varden confirmed downstream in the past.. 15:05:09</t>
  </si>
  <si>
    <t>Skeena Fish Passage Restoration Planning 2023 - Phase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</si>
</sst>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0" fontId="5" fillId="0" borderId="0" xfId="2"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Alignment="1" applyProtection="1">
      <alignment horizontal="right"/>
      <protection locked="0"/>
    </xf>
    <xf numFmtId="2" fontId="0" fillId="0" borderId="0" xfId="0" applyNumberFormat="1" applyFill="1" applyProtection="1">
      <protection locked="0"/>
    </xf>
    <xf numFmtId="1" fontId="1" fillId="0" borderId="0" xfId="3" applyNumberFormat="1" applyFill="1" applyProtection="1">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132</v>
      </c>
    </row>
    <row r="5" spans="1:20">
      <c r="A5" s="4" t="s">
        <v>58</v>
      </c>
      <c r="B5" t="s">
        <v>140</v>
      </c>
    </row>
    <row r="6" spans="1:20">
      <c r="A6" s="4"/>
      <c r="B6" s="10"/>
    </row>
    <row r="7" spans="1:20">
      <c r="A7" s="4" t="s">
        <v>86</v>
      </c>
      <c r="B7" s="79" t="s">
        <v>127</v>
      </c>
    </row>
    <row r="8" spans="1:20">
      <c r="A8" s="4" t="s">
        <v>73</v>
      </c>
      <c r="B8" t="s">
        <v>128</v>
      </c>
    </row>
    <row r="9" spans="1:20">
      <c r="A9" s="4" t="s">
        <v>74</v>
      </c>
      <c r="B9" t="s">
        <v>129</v>
      </c>
    </row>
    <row r="10" spans="1:20">
      <c r="A10" s="4" t="s">
        <v>75</v>
      </c>
      <c r="B10" s="80" t="s">
        <v>130</v>
      </c>
    </row>
    <row r="11" spans="1:20">
      <c r="A11" s="4"/>
      <c r="B11" s="10"/>
    </row>
    <row r="12" spans="1:20">
      <c r="A12" s="4" t="s">
        <v>36</v>
      </c>
      <c r="B12" s="79" t="s">
        <v>131</v>
      </c>
    </row>
    <row r="13" spans="1:20">
      <c r="A13" s="4" t="s">
        <v>37</v>
      </c>
      <c r="B13" t="s">
        <v>128</v>
      </c>
    </row>
    <row r="14" spans="1:20">
      <c r="A14" s="4" t="s">
        <v>38</v>
      </c>
      <c r="B14" t="s">
        <v>129</v>
      </c>
    </row>
    <row r="15" spans="1:20">
      <c r="A15" s="4" t="s">
        <v>39</v>
      </c>
      <c r="B15" s="80" t="s">
        <v>130</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13:B15">
    <cfRule type="containsBlanks" dxfId="7" priority="2" stopIfTrue="1">
      <formula>LEN(TRIM(B13))=0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2">
    <cfRule type="containsBlanks" dxfId="4" priority="1" stopIfTrue="1">
      <formula>LEN(TRIM(B12))=0</formula>
    </cfRule>
  </conditionalFormatting>
  <conditionalFormatting sqref="B4:B5">
    <cfRule type="containsBlanks" dxfId="3"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A0301620-7DA8-9849-912A-F625301C5B5C}">
      <formula1>0</formula1>
      <formula2>255</formula2>
    </dataValidation>
    <dataValidation type="custom" allowBlank="1" showInputMessage="1" showErrorMessage="1" errorTitle="Invalid Format" error="The Phone number must be 10 digits minimum. The format must match the following mask: ###-###-####" sqref="B9 B14" xr:uid="{AEEC393F-96F5-4F41-817E-905E9A6B8E8F}">
      <formula1>IF(LEN(B9)=12,LEN(B9)-LEN(SUBSTITUTE(B9,"-",""))=2,IF(LEN(B9)=10,LEN(B9)-LEN(SUBSTITUTE(B9,"-",""))=1,LEN(B9)=5))</formula1>
    </dataValidation>
    <dataValidation type="textLength" allowBlank="1" showInputMessage="1" showErrorMessage="1" sqref="B5 B10 B15" xr:uid="{359B0C69-39A2-D34D-9D50-41A134F894A8}">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31B1B40B-4AD1-E040-8972-C1799C681427}">
      <formula1>0</formula1>
      <formula2>8</formula2>
    </dataValidation>
  </dataValidations>
  <hyperlinks>
    <hyperlink ref="B10" r:id="rId1" xr:uid="{164BF5EA-14BB-D145-BA1B-EC13C027CF56}"/>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F6" sqref="A6:XFD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82">
        <v>45188</v>
      </c>
      <c r="B5" s="83">
        <v>8478</v>
      </c>
      <c r="D5" s="84" t="s">
        <v>100</v>
      </c>
      <c r="E5" s="85">
        <v>9</v>
      </c>
      <c r="F5" s="86">
        <v>590065</v>
      </c>
      <c r="G5" s="86">
        <v>6069867</v>
      </c>
      <c r="H5" s="85" t="s">
        <v>109</v>
      </c>
      <c r="I5" s="85" t="s">
        <v>103</v>
      </c>
      <c r="J5" s="33"/>
      <c r="K5" s="85" t="s">
        <v>105</v>
      </c>
      <c r="L5" s="84" t="s">
        <v>93</v>
      </c>
      <c r="M5" s="84" t="s">
        <v>94</v>
      </c>
      <c r="N5" s="87">
        <v>1.9</v>
      </c>
      <c r="O5" s="87">
        <v>12</v>
      </c>
      <c r="P5" s="84" t="s">
        <v>95</v>
      </c>
      <c r="Q5" s="84"/>
      <c r="R5" s="84" t="s">
        <v>95</v>
      </c>
      <c r="S5" s="84" t="s">
        <v>95</v>
      </c>
      <c r="T5" s="84"/>
      <c r="U5" s="84">
        <v>1.5</v>
      </c>
      <c r="V5" s="84">
        <v>0.2</v>
      </c>
      <c r="W5" s="84">
        <v>0.25</v>
      </c>
      <c r="X5" s="84" t="s">
        <v>98</v>
      </c>
      <c r="Y5" s="84">
        <v>4</v>
      </c>
      <c r="Z5" s="84">
        <v>2.5</v>
      </c>
      <c r="AA5" s="84">
        <v>8</v>
      </c>
      <c r="AB5" s="84" t="s">
        <v>95</v>
      </c>
      <c r="AC5" s="84" t="s">
        <v>98</v>
      </c>
      <c r="AD5" s="84" t="s">
        <v>96</v>
      </c>
      <c r="AE5" s="84" t="s">
        <v>99</v>
      </c>
      <c r="AF5" s="20">
        <f>IF(ISBLANK(Z5), 0, IF(ISBLANK(N5) &lt; 0, 0,Z5 / N5))</f>
        <v>1.3157894736842106</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31</v>
      </c>
      <c r="AM5" s="14" t="str">
        <f>IF(ISBLANK(L5), "", IF(L5 = "Open Bottom Structure", "Passable", IF(L5 = "Other", "Unknown", IF(AL5 &lt; 15, "Passable", IF(AND(AL5 &gt;= 15,AL5 &lt;= 19), "Potential", IF(AL5 &gt; 19, "Barrier", ""))))))</f>
        <v>Barrier</v>
      </c>
      <c r="AN5" s="84" t="s">
        <v>125</v>
      </c>
      <c r="AO5" s="84">
        <v>15</v>
      </c>
      <c r="AP5" s="92" t="s">
        <v>119</v>
      </c>
    </row>
    <row r="6" spans="1:42" ht="16">
      <c r="A6" s="82">
        <v>45188</v>
      </c>
      <c r="B6" s="83"/>
      <c r="C6" s="10">
        <v>24601280</v>
      </c>
      <c r="D6" s="84" t="s">
        <v>100</v>
      </c>
      <c r="E6" s="85">
        <v>9</v>
      </c>
      <c r="F6" s="86">
        <v>597637</v>
      </c>
      <c r="G6" s="86">
        <v>6070211</v>
      </c>
      <c r="H6" s="84" t="s">
        <v>133</v>
      </c>
      <c r="I6" s="85" t="s">
        <v>103</v>
      </c>
      <c r="J6" s="33"/>
      <c r="K6" s="84" t="s">
        <v>104</v>
      </c>
      <c r="L6" s="84" t="s">
        <v>93</v>
      </c>
      <c r="M6" s="84" t="s">
        <v>94</v>
      </c>
      <c r="N6" s="87">
        <v>0.6</v>
      </c>
      <c r="O6" s="87">
        <v>18.5</v>
      </c>
      <c r="P6" s="84" t="s">
        <v>95</v>
      </c>
      <c r="Q6" s="84"/>
      <c r="R6" s="84" t="s">
        <v>95</v>
      </c>
      <c r="S6" s="84" t="s">
        <v>95</v>
      </c>
      <c r="T6" s="84"/>
      <c r="U6" s="84">
        <v>1</v>
      </c>
      <c r="V6" s="84">
        <v>0.18</v>
      </c>
      <c r="W6" s="84">
        <v>0.4</v>
      </c>
      <c r="X6" s="84" t="s">
        <v>98</v>
      </c>
      <c r="Y6" s="84">
        <v>5</v>
      </c>
      <c r="Z6" s="84">
        <v>1.9</v>
      </c>
      <c r="AA6" s="84">
        <v>7</v>
      </c>
      <c r="AB6" s="84" t="s">
        <v>95</v>
      </c>
      <c r="AC6" s="84" t="s">
        <v>98</v>
      </c>
      <c r="AD6" s="84" t="s">
        <v>96</v>
      </c>
      <c r="AE6" s="84" t="s">
        <v>99</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4" t="s">
        <v>126</v>
      </c>
      <c r="AO6" s="84">
        <v>3</v>
      </c>
      <c r="AP6" s="92" t="s">
        <v>134</v>
      </c>
    </row>
    <row r="7" spans="1:42" ht="16">
      <c r="A7" s="82">
        <v>45196</v>
      </c>
      <c r="B7" s="83">
        <v>198022</v>
      </c>
      <c r="D7" s="84" t="s">
        <v>100</v>
      </c>
      <c r="E7" s="85">
        <v>9</v>
      </c>
      <c r="F7" s="86">
        <v>614703</v>
      </c>
      <c r="G7" s="86">
        <v>6009976</v>
      </c>
      <c r="H7" s="84" t="s">
        <v>106</v>
      </c>
      <c r="I7" s="85" t="s">
        <v>107</v>
      </c>
      <c r="J7" s="88"/>
      <c r="K7" s="84" t="s">
        <v>108</v>
      </c>
      <c r="L7" s="84" t="s">
        <v>93</v>
      </c>
      <c r="M7" s="84" t="s">
        <v>94</v>
      </c>
      <c r="N7" s="89">
        <v>1</v>
      </c>
      <c r="O7" s="89">
        <v>14.5</v>
      </c>
      <c r="P7" s="84" t="s">
        <v>95</v>
      </c>
      <c r="Q7" s="84"/>
      <c r="R7" s="84" t="s">
        <v>95</v>
      </c>
      <c r="S7" s="84" t="s">
        <v>95</v>
      </c>
      <c r="T7" s="84"/>
      <c r="U7" s="84">
        <v>2</v>
      </c>
      <c r="V7" s="84">
        <v>0</v>
      </c>
      <c r="W7" s="84">
        <v>0</v>
      </c>
      <c r="X7" s="84" t="s">
        <v>95</v>
      </c>
      <c r="Y7" s="84">
        <v>2</v>
      </c>
      <c r="Z7" s="84">
        <v>2.4</v>
      </c>
      <c r="AA7" s="84">
        <v>2</v>
      </c>
      <c r="AB7" s="84" t="s">
        <v>98</v>
      </c>
      <c r="AC7" s="84" t="s">
        <v>98</v>
      </c>
      <c r="AD7" s="84" t="s">
        <v>96</v>
      </c>
      <c r="AE7" s="84" t="s">
        <v>99</v>
      </c>
      <c r="AF7" s="20">
        <f t="shared" si="0"/>
        <v>2.4</v>
      </c>
      <c r="AG7" s="13">
        <f t="shared" si="1"/>
        <v>0</v>
      </c>
      <c r="AH7" s="7">
        <f t="shared" si="2"/>
        <v>10</v>
      </c>
      <c r="AI7" s="7">
        <f t="shared" si="3"/>
        <v>0</v>
      </c>
      <c r="AJ7" s="7">
        <f t="shared" si="4"/>
        <v>5</v>
      </c>
      <c r="AK7" s="7">
        <f t="shared" si="5"/>
        <v>6</v>
      </c>
      <c r="AL7" s="12">
        <f t="shared" si="6"/>
        <v>21</v>
      </c>
      <c r="AM7" s="14" t="str">
        <f t="shared" si="7"/>
        <v>Barrier</v>
      </c>
      <c r="AN7" s="84" t="s">
        <v>125</v>
      </c>
      <c r="AO7" s="84">
        <v>15</v>
      </c>
      <c r="AP7" s="84" t="s">
        <v>124</v>
      </c>
    </row>
    <row r="8" spans="1:42" ht="16">
      <c r="A8" s="82">
        <v>45231</v>
      </c>
      <c r="B8" s="90">
        <v>8547</v>
      </c>
      <c r="D8" s="84" t="s">
        <v>116</v>
      </c>
      <c r="E8" s="85">
        <v>9</v>
      </c>
      <c r="F8" s="86">
        <v>589988</v>
      </c>
      <c r="G8" s="86">
        <v>6072657</v>
      </c>
      <c r="H8" s="84" t="s">
        <v>102</v>
      </c>
      <c r="I8" s="85" t="s">
        <v>117</v>
      </c>
      <c r="J8" s="78"/>
      <c r="K8" s="91" t="s">
        <v>104</v>
      </c>
      <c r="L8" s="84" t="s">
        <v>93</v>
      </c>
      <c r="M8" s="84" t="s">
        <v>94</v>
      </c>
      <c r="N8" s="89">
        <v>0.9</v>
      </c>
      <c r="O8" s="89">
        <v>20</v>
      </c>
      <c r="P8" s="84" t="s">
        <v>95</v>
      </c>
      <c r="Q8" s="84"/>
      <c r="R8" s="84" t="s">
        <v>95</v>
      </c>
      <c r="S8" s="84" t="s">
        <v>95</v>
      </c>
      <c r="T8" s="84"/>
      <c r="U8" s="84">
        <v>3</v>
      </c>
      <c r="V8" s="84">
        <v>0.7</v>
      </c>
      <c r="W8" s="84">
        <v>0.5</v>
      </c>
      <c r="X8" s="84" t="s">
        <v>95</v>
      </c>
      <c r="Y8" s="84">
        <v>3</v>
      </c>
      <c r="Z8" s="84">
        <v>1.9</v>
      </c>
      <c r="AA8" s="84">
        <v>3</v>
      </c>
      <c r="AB8" s="84" t="s">
        <v>95</v>
      </c>
      <c r="AC8" s="84" t="s">
        <v>95</v>
      </c>
      <c r="AD8" s="84" t="s">
        <v>96</v>
      </c>
      <c r="AE8" s="84" t="s">
        <v>97</v>
      </c>
      <c r="AF8" s="20">
        <f t="shared" si="0"/>
        <v>2.1111111111111112</v>
      </c>
      <c r="AG8" s="13">
        <f t="shared" si="1"/>
        <v>3</v>
      </c>
      <c r="AH8" s="7">
        <f t="shared" si="2"/>
        <v>10</v>
      </c>
      <c r="AI8" s="7">
        <f t="shared" si="3"/>
        <v>10</v>
      </c>
      <c r="AJ8" s="7">
        <f t="shared" si="4"/>
        <v>10</v>
      </c>
      <c r="AK8" s="7">
        <f t="shared" si="5"/>
        <v>6</v>
      </c>
      <c r="AL8" s="12">
        <f t="shared" si="6"/>
        <v>39</v>
      </c>
      <c r="AM8" s="14" t="str">
        <f t="shared" si="7"/>
        <v>Barrier</v>
      </c>
      <c r="AN8" s="84" t="s">
        <v>126</v>
      </c>
      <c r="AO8" s="84">
        <v>3</v>
      </c>
      <c r="AP8" s="84" t="s">
        <v>122</v>
      </c>
    </row>
    <row r="9" spans="1:42" ht="16">
      <c r="A9" s="82">
        <v>45181</v>
      </c>
      <c r="B9" s="83"/>
      <c r="C9" s="10">
        <v>14000571</v>
      </c>
      <c r="D9" s="84" t="s">
        <v>92</v>
      </c>
      <c r="E9" s="85">
        <v>9</v>
      </c>
      <c r="F9" s="86">
        <v>631703</v>
      </c>
      <c r="G9" s="86">
        <v>6017418</v>
      </c>
      <c r="H9" s="92" t="s">
        <v>135</v>
      </c>
      <c r="I9" s="85" t="s">
        <v>101</v>
      </c>
      <c r="J9" s="33"/>
      <c r="K9" s="91" t="s">
        <v>136</v>
      </c>
      <c r="L9" s="84" t="s">
        <v>93</v>
      </c>
      <c r="M9" s="84" t="s">
        <v>94</v>
      </c>
      <c r="N9" s="89">
        <v>1.6</v>
      </c>
      <c r="O9" s="89">
        <v>18</v>
      </c>
      <c r="P9" s="84" t="s">
        <v>95</v>
      </c>
      <c r="Q9" s="84"/>
      <c r="R9" s="84" t="s">
        <v>95</v>
      </c>
      <c r="S9" s="84" t="s">
        <v>95</v>
      </c>
      <c r="T9" s="84"/>
      <c r="U9" s="84">
        <v>8</v>
      </c>
      <c r="V9" s="84">
        <v>0.7</v>
      </c>
      <c r="W9" s="84">
        <v>0.5</v>
      </c>
      <c r="X9" s="84" t="s">
        <v>95</v>
      </c>
      <c r="Y9" s="84">
        <v>4</v>
      </c>
      <c r="Z9" s="84">
        <v>3.3</v>
      </c>
      <c r="AA9" s="84">
        <v>3</v>
      </c>
      <c r="AB9" s="84" t="s">
        <v>95</v>
      </c>
      <c r="AC9" s="84" t="s">
        <v>98</v>
      </c>
      <c r="AD9" s="84" t="s">
        <v>96</v>
      </c>
      <c r="AE9" s="84" t="s">
        <v>97</v>
      </c>
      <c r="AF9" s="20">
        <f t="shared" si="0"/>
        <v>2.0624999999999996</v>
      </c>
      <c r="AG9" s="13">
        <f t="shared" si="1"/>
        <v>3</v>
      </c>
      <c r="AH9" s="7">
        <f t="shared" si="2"/>
        <v>10</v>
      </c>
      <c r="AI9" s="7">
        <f t="shared" si="3"/>
        <v>10</v>
      </c>
      <c r="AJ9" s="7">
        <f t="shared" si="4"/>
        <v>10</v>
      </c>
      <c r="AK9" s="7">
        <f t="shared" si="5"/>
        <v>6</v>
      </c>
      <c r="AL9" s="12">
        <f t="shared" si="6"/>
        <v>39</v>
      </c>
      <c r="AM9" s="14" t="str">
        <f t="shared" si="7"/>
        <v>Barrier</v>
      </c>
      <c r="AN9" s="84" t="s">
        <v>126</v>
      </c>
      <c r="AO9" s="84">
        <v>4.5</v>
      </c>
      <c r="AP9" s="84" t="s">
        <v>137</v>
      </c>
    </row>
    <row r="10" spans="1:42" ht="16">
      <c r="A10" s="82">
        <v>45181</v>
      </c>
      <c r="B10" s="83"/>
      <c r="C10" s="10">
        <v>14001106</v>
      </c>
      <c r="D10" s="84" t="s">
        <v>92</v>
      </c>
      <c r="E10" s="85">
        <v>9</v>
      </c>
      <c r="F10" s="86">
        <v>631508</v>
      </c>
      <c r="G10" s="86">
        <v>6018096</v>
      </c>
      <c r="H10" s="92" t="s">
        <v>135</v>
      </c>
      <c r="I10" s="85" t="s">
        <v>138</v>
      </c>
      <c r="J10" s="33"/>
      <c r="K10" s="84" t="s">
        <v>136</v>
      </c>
      <c r="L10" s="84" t="s">
        <v>93</v>
      </c>
      <c r="M10" s="84" t="s">
        <v>94</v>
      </c>
      <c r="N10" s="89">
        <v>1.2</v>
      </c>
      <c r="O10" s="89">
        <v>14</v>
      </c>
      <c r="P10" s="84" t="s">
        <v>95</v>
      </c>
      <c r="Q10" s="89"/>
      <c r="R10" s="84" t="s">
        <v>95</v>
      </c>
      <c r="S10" s="84" t="s">
        <v>95</v>
      </c>
      <c r="T10" s="89"/>
      <c r="U10" s="89">
        <v>0.7</v>
      </c>
      <c r="V10" s="84">
        <v>0.1</v>
      </c>
      <c r="W10" s="89">
        <v>0.7</v>
      </c>
      <c r="X10" s="84" t="s">
        <v>95</v>
      </c>
      <c r="Y10" s="89">
        <v>1</v>
      </c>
      <c r="Z10" s="89">
        <v>1.9</v>
      </c>
      <c r="AA10" s="84">
        <v>2</v>
      </c>
      <c r="AB10" s="84" t="s">
        <v>95</v>
      </c>
      <c r="AC10" s="84" t="s">
        <v>95</v>
      </c>
      <c r="AD10" s="84" t="s">
        <v>96</v>
      </c>
      <c r="AE10" s="84" t="s">
        <v>97</v>
      </c>
      <c r="AF10" s="20">
        <f t="shared" si="0"/>
        <v>1.5833333333333333</v>
      </c>
      <c r="AG10" s="13">
        <f t="shared" si="1"/>
        <v>0</v>
      </c>
      <c r="AH10" s="7">
        <f t="shared" si="2"/>
        <v>10</v>
      </c>
      <c r="AI10" s="7">
        <f t="shared" si="3"/>
        <v>0</v>
      </c>
      <c r="AJ10" s="7">
        <f t="shared" si="4"/>
        <v>5</v>
      </c>
      <c r="AK10" s="7">
        <f t="shared" si="5"/>
        <v>6</v>
      </c>
      <c r="AL10" s="12">
        <f t="shared" si="6"/>
        <v>21</v>
      </c>
      <c r="AM10" s="14" t="str">
        <f t="shared" si="7"/>
        <v>Barrier</v>
      </c>
      <c r="AN10" s="84" t="s">
        <v>126</v>
      </c>
      <c r="AO10" s="89">
        <v>3</v>
      </c>
      <c r="AP10" s="84" t="s">
        <v>139</v>
      </c>
    </row>
    <row r="11" spans="1:42" ht="16">
      <c r="A11" s="82">
        <v>45196</v>
      </c>
      <c r="B11" s="83">
        <v>197949</v>
      </c>
      <c r="C11" s="81"/>
      <c r="D11" s="84" t="s">
        <v>92</v>
      </c>
      <c r="E11" s="84">
        <v>9</v>
      </c>
      <c r="F11" s="93">
        <v>614404</v>
      </c>
      <c r="G11" s="93">
        <v>6010346</v>
      </c>
      <c r="H11" s="92" t="s">
        <v>106</v>
      </c>
      <c r="I11" s="85" t="s">
        <v>101</v>
      </c>
      <c r="J11" s="33"/>
      <c r="K11" s="84" t="s">
        <v>118</v>
      </c>
      <c r="L11" s="84" t="s">
        <v>93</v>
      </c>
      <c r="M11" s="84" t="s">
        <v>94</v>
      </c>
      <c r="N11" s="89">
        <v>1.2</v>
      </c>
      <c r="O11" s="89">
        <v>14</v>
      </c>
      <c r="P11" s="84" t="s">
        <v>95</v>
      </c>
      <c r="Q11" s="89"/>
      <c r="R11" s="84" t="s">
        <v>95</v>
      </c>
      <c r="S11" s="84" t="s">
        <v>95</v>
      </c>
      <c r="T11" s="89"/>
      <c r="U11" s="89">
        <v>1.2</v>
      </c>
      <c r="V11" s="84">
        <v>0.5</v>
      </c>
      <c r="W11" s="89">
        <v>0.6</v>
      </c>
      <c r="X11" s="84" t="s">
        <v>95</v>
      </c>
      <c r="Y11" s="89">
        <v>2</v>
      </c>
      <c r="Z11" s="89">
        <v>2.2999999999999998</v>
      </c>
      <c r="AA11" s="84">
        <v>2</v>
      </c>
      <c r="AB11" s="84" t="s">
        <v>95</v>
      </c>
      <c r="AC11" s="84" t="s">
        <v>98</v>
      </c>
      <c r="AD11" s="84" t="s">
        <v>96</v>
      </c>
      <c r="AE11" s="84" t="s">
        <v>97</v>
      </c>
      <c r="AF11" s="20">
        <f t="shared" si="0"/>
        <v>1.9166666666666665</v>
      </c>
      <c r="AG11" s="13">
        <f t="shared" si="1"/>
        <v>0</v>
      </c>
      <c r="AH11" s="7">
        <f t="shared" si="2"/>
        <v>10</v>
      </c>
      <c r="AI11" s="7">
        <f t="shared" si="3"/>
        <v>10</v>
      </c>
      <c r="AJ11" s="7">
        <f>IF(Y11&lt;1,0,IF(AND(Y11&gt;=1,Y11&lt;3),5,IF(Y11&gt;=3,10,0)))</f>
        <v>5</v>
      </c>
      <c r="AK11" s="7">
        <f t="shared" si="5"/>
        <v>6</v>
      </c>
      <c r="AL11" s="12">
        <f t="shared" si="6"/>
        <v>31</v>
      </c>
      <c r="AM11" s="14" t="str">
        <f t="shared" si="7"/>
        <v>Barrier</v>
      </c>
      <c r="AN11" s="84" t="s">
        <v>125</v>
      </c>
      <c r="AO11" s="84">
        <v>15</v>
      </c>
      <c r="AP11" s="84" t="s">
        <v>123</v>
      </c>
    </row>
    <row r="12" spans="1:42" ht="64">
      <c r="A12" s="82">
        <v>45189</v>
      </c>
      <c r="B12" s="83">
        <v>8543</v>
      </c>
      <c r="D12" s="84" t="s">
        <v>114</v>
      </c>
      <c r="E12" s="85">
        <v>9</v>
      </c>
      <c r="F12" s="86">
        <v>592142</v>
      </c>
      <c r="G12" s="86">
        <v>6072357</v>
      </c>
      <c r="H12" s="85" t="s">
        <v>102</v>
      </c>
      <c r="I12" s="85" t="s">
        <v>115</v>
      </c>
      <c r="J12" s="33">
        <v>23</v>
      </c>
      <c r="K12" s="85" t="s">
        <v>104</v>
      </c>
      <c r="L12" s="84" t="s">
        <v>93</v>
      </c>
      <c r="M12" s="84" t="s">
        <v>94</v>
      </c>
      <c r="N12" s="89">
        <v>1.2</v>
      </c>
      <c r="O12" s="89">
        <v>14</v>
      </c>
      <c r="P12" s="84" t="s">
        <v>95</v>
      </c>
      <c r="Q12" s="84"/>
      <c r="R12" s="84" t="s">
        <v>95</v>
      </c>
      <c r="S12" s="84" t="s">
        <v>95</v>
      </c>
      <c r="T12" s="89"/>
      <c r="U12" s="89">
        <v>1</v>
      </c>
      <c r="V12" s="84">
        <v>0.5</v>
      </c>
      <c r="W12" s="89">
        <v>0.8</v>
      </c>
      <c r="X12" s="84" t="s">
        <v>95</v>
      </c>
      <c r="Y12" s="89">
        <v>3</v>
      </c>
      <c r="Z12" s="89">
        <v>1.8</v>
      </c>
      <c r="AA12" s="84">
        <v>5</v>
      </c>
      <c r="AB12" s="84" t="s">
        <v>95</v>
      </c>
      <c r="AC12" s="84" t="s">
        <v>95</v>
      </c>
      <c r="AD12" s="84" t="s">
        <v>96</v>
      </c>
      <c r="AE12" s="84" t="s">
        <v>99</v>
      </c>
      <c r="AF12" s="20">
        <f t="shared" ref="AF12:AF72" si="8">IF(ISBLANK(Z12), 0, IF(ISBLANK(N12) &lt; 0, 0,Z12 / N12))</f>
        <v>1.5</v>
      </c>
      <c r="AG12" s="13">
        <f t="shared" si="1"/>
        <v>0</v>
      </c>
      <c r="AH12" s="7">
        <f t="shared" si="2"/>
        <v>10</v>
      </c>
      <c r="AI12" s="7">
        <f t="shared" si="3"/>
        <v>10</v>
      </c>
      <c r="AJ12" s="7">
        <f t="shared" si="4"/>
        <v>10</v>
      </c>
      <c r="AK12" s="7">
        <f t="shared" si="5"/>
        <v>6</v>
      </c>
      <c r="AL12" s="12">
        <f t="shared" ref="AL12:AL70" si="9">AG12 + AH12 + AI12 + AJ12 + AK12</f>
        <v>36</v>
      </c>
      <c r="AM12" s="14" t="str">
        <f t="shared" si="7"/>
        <v>Barrier</v>
      </c>
      <c r="AN12" s="84" t="s">
        <v>126</v>
      </c>
      <c r="AO12" s="89">
        <v>3</v>
      </c>
      <c r="AP12" s="84" t="s">
        <v>121</v>
      </c>
    </row>
    <row r="13" spans="1:42" ht="16">
      <c r="A13" s="82">
        <v>45187</v>
      </c>
      <c r="B13" s="83">
        <v>8525</v>
      </c>
      <c r="D13" s="84" t="s">
        <v>110</v>
      </c>
      <c r="E13" s="85">
        <v>9</v>
      </c>
      <c r="F13" s="86">
        <v>580998</v>
      </c>
      <c r="G13" s="86">
        <v>6074681</v>
      </c>
      <c r="H13" s="85" t="s">
        <v>111</v>
      </c>
      <c r="I13" s="85" t="s">
        <v>112</v>
      </c>
      <c r="K13" s="85" t="s">
        <v>113</v>
      </c>
      <c r="L13" s="84" t="s">
        <v>93</v>
      </c>
      <c r="M13" s="84" t="s">
        <v>94</v>
      </c>
      <c r="N13" s="89">
        <v>0.9</v>
      </c>
      <c r="O13" s="89">
        <v>28</v>
      </c>
      <c r="P13" s="84" t="s">
        <v>95</v>
      </c>
      <c r="Q13" s="84"/>
      <c r="R13" s="84" t="s">
        <v>95</v>
      </c>
      <c r="S13" s="84" t="s">
        <v>95</v>
      </c>
      <c r="T13" s="84"/>
      <c r="U13" s="89">
        <v>2</v>
      </c>
      <c r="V13" s="84">
        <v>0.5</v>
      </c>
      <c r="W13" s="89">
        <v>0.2</v>
      </c>
      <c r="X13" s="84" t="s">
        <v>95</v>
      </c>
      <c r="Y13" s="89">
        <v>1</v>
      </c>
      <c r="Z13" s="89">
        <v>1.9</v>
      </c>
      <c r="AA13" s="84">
        <v>4</v>
      </c>
      <c r="AB13" s="84" t="s">
        <v>95</v>
      </c>
      <c r="AC13" s="84" t="s">
        <v>95</v>
      </c>
      <c r="AD13" s="84" t="s">
        <v>96</v>
      </c>
      <c r="AE13" s="84" t="s">
        <v>99</v>
      </c>
      <c r="AF13" s="20">
        <f t="shared" si="8"/>
        <v>2.1111111111111112</v>
      </c>
      <c r="AG13" s="13">
        <f t="shared" si="1"/>
        <v>3</v>
      </c>
      <c r="AH13" s="7">
        <f t="shared" si="2"/>
        <v>10</v>
      </c>
      <c r="AI13" s="7">
        <f t="shared" si="3"/>
        <v>10</v>
      </c>
      <c r="AJ13" s="7">
        <f t="shared" si="4"/>
        <v>5</v>
      </c>
      <c r="AK13" s="7">
        <f t="shared" si="5"/>
        <v>6</v>
      </c>
      <c r="AL13" s="12">
        <f t="shared" si="9"/>
        <v>34</v>
      </c>
      <c r="AM13" s="14" t="str">
        <f t="shared" si="7"/>
        <v>Barrier</v>
      </c>
      <c r="AN13" s="84" t="s">
        <v>126</v>
      </c>
      <c r="AO13" s="89">
        <v>3</v>
      </c>
      <c r="AP13" s="84" t="s">
        <v>120</v>
      </c>
    </row>
    <row r="14" spans="1:42">
      <c r="A14" s="82"/>
      <c r="B14" s="83"/>
      <c r="D14" s="84"/>
      <c r="E14" s="85"/>
      <c r="F14" s="86"/>
      <c r="G14" s="86"/>
      <c r="H14" s="85"/>
      <c r="I14" s="85"/>
      <c r="K14" s="85"/>
      <c r="L14" s="84"/>
      <c r="M14" s="84"/>
      <c r="N14" s="89"/>
      <c r="O14" s="89"/>
      <c r="P14" s="84"/>
      <c r="Q14" s="84"/>
      <c r="R14" s="84"/>
      <c r="S14" s="84"/>
      <c r="T14" s="84"/>
      <c r="U14" s="89"/>
      <c r="V14" s="84"/>
      <c r="W14" s="89"/>
      <c r="X14" s="84"/>
      <c r="Y14" s="89"/>
      <c r="Z14" s="89"/>
      <c r="AA14" s="84"/>
      <c r="AB14" s="84"/>
      <c r="AC14" s="84"/>
      <c r="AD14" s="84"/>
      <c r="AE14" s="84"/>
      <c r="AF14" s="20">
        <f t="shared" si="8"/>
        <v>0</v>
      </c>
      <c r="AG14" s="13">
        <f t="shared" si="1"/>
        <v>0</v>
      </c>
      <c r="AH14" s="7">
        <f t="shared" si="2"/>
        <v>0</v>
      </c>
      <c r="AI14" s="7">
        <f t="shared" si="3"/>
        <v>0</v>
      </c>
      <c r="AJ14" s="7">
        <f t="shared" si="4"/>
        <v>0</v>
      </c>
      <c r="AK14" s="7">
        <f t="shared" si="5"/>
        <v>0</v>
      </c>
      <c r="AL14" s="12">
        <f t="shared" si="9"/>
        <v>0</v>
      </c>
      <c r="AM14" s="14" t="str">
        <f t="shared" si="7"/>
        <v/>
      </c>
      <c r="AN14" s="84"/>
      <c r="AO14" s="89"/>
      <c r="AP14" s="84"/>
    </row>
    <row r="15" spans="1:42">
      <c r="A15" s="82"/>
      <c r="C15" s="84"/>
      <c r="D15" s="84"/>
      <c r="E15" s="85"/>
      <c r="F15" s="86"/>
      <c r="G15" s="86"/>
      <c r="H15" s="85"/>
      <c r="I15" s="85"/>
      <c r="K15" s="85"/>
      <c r="L15" s="84"/>
      <c r="M15" s="84"/>
      <c r="N15" s="89"/>
      <c r="O15" s="89"/>
      <c r="P15" s="84"/>
      <c r="Q15" s="10"/>
      <c r="R15" s="84"/>
      <c r="S15" s="84"/>
      <c r="U15" s="89"/>
      <c r="V15" s="84"/>
      <c r="W15" s="89"/>
      <c r="X15" s="84"/>
      <c r="Y15" s="89"/>
      <c r="Z15" s="89"/>
      <c r="AA15" s="84"/>
      <c r="AB15" s="84"/>
      <c r="AC15" s="84"/>
      <c r="AD15" s="84"/>
      <c r="AE15" s="84"/>
      <c r="AF15" s="20">
        <f t="shared" si="8"/>
        <v>0</v>
      </c>
      <c r="AG15" s="13">
        <f t="shared" si="1"/>
        <v>0</v>
      </c>
      <c r="AH15" s="7">
        <f t="shared" si="2"/>
        <v>0</v>
      </c>
      <c r="AI15" s="7">
        <f t="shared" si="3"/>
        <v>0</v>
      </c>
      <c r="AJ15" s="7">
        <f t="shared" si="4"/>
        <v>0</v>
      </c>
      <c r="AK15" s="7">
        <f t="shared" si="5"/>
        <v>0</v>
      </c>
      <c r="AL15" s="12">
        <f t="shared" si="9"/>
        <v>0</v>
      </c>
      <c r="AM15" s="14" t="str">
        <f t="shared" si="7"/>
        <v/>
      </c>
      <c r="AN15" s="84"/>
      <c r="AO15" s="89"/>
      <c r="AP15" s="84"/>
    </row>
    <row r="16" spans="1:42">
      <c r="A16" s="82"/>
      <c r="C16" s="84"/>
      <c r="D16" s="84"/>
      <c r="E16" s="85"/>
      <c r="F16" s="86"/>
      <c r="G16" s="86"/>
      <c r="H16" s="85"/>
      <c r="I16" s="85"/>
      <c r="K16" s="85"/>
      <c r="L16" s="84"/>
      <c r="M16" s="84"/>
      <c r="N16" s="89"/>
      <c r="O16" s="89"/>
      <c r="P16" s="84"/>
      <c r="Q16" s="10"/>
      <c r="R16" s="84"/>
      <c r="S16" s="84"/>
      <c r="U16" s="89"/>
      <c r="V16" s="84"/>
      <c r="W16" s="89"/>
      <c r="X16" s="84"/>
      <c r="Y16" s="89"/>
      <c r="Z16" s="89"/>
      <c r="AA16" s="84"/>
      <c r="AB16" s="84"/>
      <c r="AC16" s="84"/>
      <c r="AD16" s="84"/>
      <c r="AE16" s="84"/>
      <c r="AF16" s="20">
        <f t="shared" si="8"/>
        <v>0</v>
      </c>
      <c r="AG16" s="13">
        <f t="shared" si="1"/>
        <v>0</v>
      </c>
      <c r="AH16" s="7">
        <f t="shared" si="2"/>
        <v>0</v>
      </c>
      <c r="AI16" s="7">
        <f t="shared" si="3"/>
        <v>0</v>
      </c>
      <c r="AJ16" s="7">
        <f t="shared" si="4"/>
        <v>0</v>
      </c>
      <c r="AK16" s="7">
        <f t="shared" si="5"/>
        <v>0</v>
      </c>
      <c r="AL16" s="12">
        <f t="shared" si="9"/>
        <v>0</v>
      </c>
      <c r="AM16" s="14" t="str">
        <f t="shared" si="7"/>
        <v/>
      </c>
      <c r="AN16" s="84"/>
      <c r="AO16" s="89"/>
      <c r="AP16" s="84"/>
    </row>
    <row r="17" spans="1:42">
      <c r="A17" s="82"/>
      <c r="C17" s="84"/>
      <c r="D17" s="84"/>
      <c r="E17" s="85"/>
      <c r="F17" s="86"/>
      <c r="G17" s="86"/>
      <c r="H17" s="85"/>
      <c r="I17" s="85"/>
      <c r="K17" s="85"/>
      <c r="L17" s="84"/>
      <c r="M17" s="84"/>
      <c r="N17" s="89"/>
      <c r="O17" s="89"/>
      <c r="P17" s="84"/>
      <c r="R17" s="84"/>
      <c r="S17" s="84"/>
      <c r="T17" s="10"/>
      <c r="U17" s="89"/>
      <c r="V17" s="84"/>
      <c r="W17" s="89"/>
      <c r="X17" s="84"/>
      <c r="Y17" s="89"/>
      <c r="Z17" s="89"/>
      <c r="AA17" s="84"/>
      <c r="AB17" s="84"/>
      <c r="AC17" s="84"/>
      <c r="AD17" s="84"/>
      <c r="AE17" s="84"/>
      <c r="AF17" s="20">
        <f t="shared" si="8"/>
        <v>0</v>
      </c>
      <c r="AG17" s="13">
        <f t="shared" si="1"/>
        <v>0</v>
      </c>
      <c r="AH17" s="7">
        <f t="shared" si="2"/>
        <v>0</v>
      </c>
      <c r="AI17" s="7">
        <f t="shared" si="3"/>
        <v>0</v>
      </c>
      <c r="AJ17" s="7">
        <f t="shared" si="4"/>
        <v>0</v>
      </c>
      <c r="AK17" s="7">
        <f t="shared" si="5"/>
        <v>0</v>
      </c>
      <c r="AL17" s="12">
        <f t="shared" si="9"/>
        <v>0</v>
      </c>
      <c r="AM17" s="14" t="str">
        <f t="shared" si="7"/>
        <v/>
      </c>
      <c r="AN17" s="84"/>
      <c r="AO17" s="89"/>
      <c r="AP17" s="84"/>
    </row>
    <row r="18" spans="1:42">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2">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2">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2">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UbewPtTgfhiK3EYdM/Wjg0ZLEOBEMFp2zqchXbwrPC2C3TnivVQ7axQ66QlWVO+p0aeLmQIMireGidkBKrwfg==" saltValue="Ctoryv8F24xOyVvcRGbho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Q6"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31 Q29 Q24 Q15:Q16 Q10"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Q12"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Q14"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Q11 Q7"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1.89 and &gt;= 0.01" sqref="Q5" xr:uid="{E9EAD29F-1F1D-E24D-88B4-B7E6E3DFD580}">
      <formula1>0.01</formula1>
      <formula2>1.89</formula2>
    </dataValidation>
    <dataValidation type="decimal" allowBlank="1" showInputMessage="1" showErrorMessage="1" errorTitle="Invalid value entered" error="The Average Depth Embededdment you entered is invalid. The Average Depth Embededdment must be &lt;= 2.09 and &gt;= 0.01" sqref="Q9" xr:uid="{BB9E2B9C-98A7-5F47-8713-E43E7045DDAF}">
      <formula1>0.01</formula1>
      <formula2>2.09</formula2>
    </dataValidation>
    <dataValidation type="decimal" allowBlank="1" showInputMessage="1" showErrorMessage="1" errorTitle="Invalid value entered" error="The Average Depth Embededdment you entered is invalid. The Average Depth Embededdment must be &lt;= 3.69 and &gt;= 0.01" sqref="Q13" xr:uid="{916118A2-6D01-7441-B4BC-2AC17A7B8763}">
      <formula1>0.01</formula1>
      <formula2>3.69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2024-04-22T21:59:03Z</dcterms:modified>
</cp:coreProperties>
</file>