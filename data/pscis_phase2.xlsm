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4" codeName="{A21196BD-C3A1-11ED-6554-D22D5F7347BC}"/>
  <workbookPr codeName="ThisWorkbook" defaultThemeVersion="124226"/>
  <mc:AlternateContent xmlns:mc="http://schemas.openxmlformats.org/markup-compatibility/2006">
    <mc:Choice Requires="x15">
      <x15ac:absPath xmlns:x15ac="http://schemas.microsoft.com/office/spreadsheetml/2010/11/ac" url="/Users/airvine/Projects/repo/fish_passage_skeena_2023_reporting/data/"/>
    </mc:Choice>
  </mc:AlternateContent>
  <xr:revisionPtr revIDLastSave="0" documentId="13_ncr:1_{4A5AB02A-9FB3-9046-BD31-72B27F1C7730}" xr6:coauthVersionLast="47" xr6:coauthVersionMax="47" xr10:uidLastSave="{00000000-0000-0000-0000-000000000000}"/>
  <bookViews>
    <workbookView xWindow="0" yWindow="640" windowWidth="30240" windowHeight="1900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4" i="2"/>
  <c r="AM42" i="2"/>
  <c r="AM37" i="2"/>
  <c r="AM32"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s="1"/>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F5166" i="2"/>
  <c r="AK5166" i="2"/>
  <c r="AL5166" i="2" s="1"/>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L28" i="2" s="1"/>
  <c r="AM28" i="2" s="1"/>
  <c r="AI28" i="2"/>
  <c r="AJ28" i="2"/>
  <c r="AF29" i="2"/>
  <c r="AK29" i="2" s="1"/>
  <c r="AG29" i="2"/>
  <c r="AL29" i="2" s="1"/>
  <c r="AM29" i="2" s="1"/>
  <c r="AH29" i="2"/>
  <c r="AI29" i="2"/>
  <c r="AJ29" i="2"/>
  <c r="AF30" i="2"/>
  <c r="AK30" i="2" s="1"/>
  <c r="AG30" i="2"/>
  <c r="AH30" i="2"/>
  <c r="AI30" i="2"/>
  <c r="AL30" i="2" s="1"/>
  <c r="AM30" i="2" s="1"/>
  <c r="AJ30" i="2"/>
  <c r="AF31" i="2"/>
  <c r="AK31" i="2" s="1"/>
  <c r="AG31" i="2"/>
  <c r="AH31" i="2"/>
  <c r="AL31" i="2" s="1"/>
  <c r="AM31" i="2" s="1"/>
  <c r="AI31" i="2"/>
  <c r="AJ31" i="2"/>
  <c r="AF32" i="2"/>
  <c r="AK32" i="2" s="1"/>
  <c r="AG32" i="2"/>
  <c r="AH32" i="2"/>
  <c r="AI32" i="2"/>
  <c r="AJ32" i="2"/>
  <c r="AF33" i="2"/>
  <c r="AK33" i="2" s="1"/>
  <c r="AG33" i="2"/>
  <c r="AH33" i="2"/>
  <c r="AI33" i="2"/>
  <c r="AJ33" i="2"/>
  <c r="AF34" i="2"/>
  <c r="AK34" i="2" s="1"/>
  <c r="AG34" i="2"/>
  <c r="AL34" i="2" s="1"/>
  <c r="AM34" i="2" s="1"/>
  <c r="AH34" i="2"/>
  <c r="AI34" i="2"/>
  <c r="AJ34" i="2"/>
  <c r="AF35" i="2"/>
  <c r="AK35" i="2" s="1"/>
  <c r="AG35" i="2"/>
  <c r="AH35" i="2"/>
  <c r="AI35" i="2"/>
  <c r="AJ35" i="2"/>
  <c r="AL35" i="2" s="1"/>
  <c r="AM35" i="2" s="1"/>
  <c r="AF36" i="2"/>
  <c r="AK36" i="2"/>
  <c r="AG36" i="2"/>
  <c r="AH36" i="2"/>
  <c r="AL36" i="2" s="1"/>
  <c r="AM36" i="2" s="1"/>
  <c r="AI36" i="2"/>
  <c r="AJ36" i="2"/>
  <c r="AF37" i="2"/>
  <c r="AK37" i="2" s="1"/>
  <c r="AG37" i="2"/>
  <c r="AH37" i="2"/>
  <c r="AI37" i="2"/>
  <c r="AJ37" i="2"/>
  <c r="AF38" i="2"/>
  <c r="AK38" i="2" s="1"/>
  <c r="AG38" i="2"/>
  <c r="AH38" i="2"/>
  <c r="AI38" i="2"/>
  <c r="AJ38" i="2"/>
  <c r="AF39" i="2"/>
  <c r="AK39" i="2" s="1"/>
  <c r="AG39" i="2"/>
  <c r="AH39" i="2"/>
  <c r="AL39" i="2" s="1"/>
  <c r="AM39" i="2" s="1"/>
  <c r="AI39" i="2"/>
  <c r="AJ39" i="2"/>
  <c r="AF40" i="2"/>
  <c r="AK40" i="2"/>
  <c r="AG40" i="2"/>
  <c r="AH40" i="2"/>
  <c r="AI40" i="2"/>
  <c r="AJ40" i="2"/>
  <c r="AL40" i="2" s="1"/>
  <c r="AM40" i="2" s="1"/>
  <c r="AF41" i="2"/>
  <c r="AK41" i="2" s="1"/>
  <c r="AG41" i="2"/>
  <c r="AH41" i="2"/>
  <c r="AI41" i="2"/>
  <c r="AL41" i="2" s="1"/>
  <c r="AM41" i="2" s="1"/>
  <c r="AJ41" i="2"/>
  <c r="AF42" i="2"/>
  <c r="AK42" i="2" s="1"/>
  <c r="AG42" i="2"/>
  <c r="AH42" i="2"/>
  <c r="AI42" i="2"/>
  <c r="AJ42" i="2"/>
  <c r="AF43" i="2"/>
  <c r="AK43" i="2" s="1"/>
  <c r="AG43" i="2"/>
  <c r="AH43" i="2"/>
  <c r="AI43" i="2"/>
  <c r="AJ43" i="2"/>
  <c r="AL43" i="2" s="1"/>
  <c r="AM43" i="2" s="1"/>
  <c r="AF44" i="2"/>
  <c r="AK44" i="2" s="1"/>
  <c r="AL44" i="2" s="1"/>
  <c r="AG44" i="2"/>
  <c r="AH44" i="2"/>
  <c r="AI44" i="2"/>
  <c r="AJ44" i="2"/>
  <c r="AF45" i="2"/>
  <c r="AK45" i="2" s="1"/>
  <c r="AG45" i="2"/>
  <c r="AL45" i="2" s="1"/>
  <c r="AM45" i="2" s="1"/>
  <c r="AH45" i="2"/>
  <c r="AI45" i="2"/>
  <c r="AJ45" i="2"/>
  <c r="AF46" i="2"/>
  <c r="AK46" i="2" s="1"/>
  <c r="AL46" i="2" s="1"/>
  <c r="AM46" i="2" s="1"/>
  <c r="AG46" i="2"/>
  <c r="AH46" i="2"/>
  <c r="AI46" i="2"/>
  <c r="AJ46" i="2"/>
  <c r="AF47" i="2"/>
  <c r="AK47" i="2" s="1"/>
  <c r="AG47" i="2"/>
  <c r="AH47" i="2"/>
  <c r="AL47" i="2" s="1"/>
  <c r="AM47" i="2" s="1"/>
  <c r="AI47" i="2"/>
  <c r="AJ47" i="2"/>
  <c r="AF48" i="2"/>
  <c r="AK48" i="2"/>
  <c r="AG48" i="2"/>
  <c r="AL48" i="2" s="1"/>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L168" i="2" s="1"/>
  <c r="AG168" i="2"/>
  <c r="AH168" i="2"/>
  <c r="AI168" i="2"/>
  <c r="AJ168" i="2"/>
  <c r="AF169" i="2"/>
  <c r="AK169" i="2"/>
  <c r="AG169" i="2"/>
  <c r="AH169" i="2"/>
  <c r="AI169" i="2"/>
  <c r="AL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L292" i="2" s="1"/>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L297" i="2" s="1"/>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L324" i="2" s="1"/>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L445" i="2" s="1"/>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L525" i="2" s="1"/>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c r="AG705" i="2"/>
  <c r="AH705" i="2"/>
  <c r="AI705" i="2"/>
  <c r="AJ705" i="2"/>
  <c r="AF706" i="2"/>
  <c r="AK706" i="2"/>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L983" i="2" s="1"/>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c r="AG999" i="2"/>
  <c r="AH999" i="2"/>
  <c r="AI999" i="2"/>
  <c r="AJ999" i="2"/>
  <c r="AF1000" i="2"/>
  <c r="AK1000" i="2"/>
  <c r="AG1000" i="2"/>
  <c r="AH1000" i="2"/>
  <c r="AI1000" i="2"/>
  <c r="AJ1000" i="2"/>
  <c r="AF1001" i="2"/>
  <c r="AK1001" i="2"/>
  <c r="AG1001" i="2"/>
  <c r="AH1001" i="2"/>
  <c r="AL1001" i="2" s="1"/>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L1088" i="2" s="1"/>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I1093" i="2"/>
  <c r="AL1093" i="2" s="1"/>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L1111" i="2" s="1"/>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L1135" i="2" s="1"/>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L1455" i="2" s="1"/>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L1486" i="2" s="1"/>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L1509" i="2" s="1"/>
  <c r="AI1509" i="2"/>
  <c r="AJ1509" i="2"/>
  <c r="AF1510" i="2"/>
  <c r="AK1510" i="2"/>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s="1"/>
  <c r="AG1590" i="2"/>
  <c r="AL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L1776" i="2" s="1"/>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L1789" i="2" s="1"/>
  <c r="AH1789" i="2"/>
  <c r="AI1789" i="2"/>
  <c r="AJ1789" i="2"/>
  <c r="AF1790" i="2"/>
  <c r="AK1790" i="2" s="1"/>
  <c r="AG1790" i="2"/>
  <c r="AH1790" i="2"/>
  <c r="AI1790" i="2"/>
  <c r="AJ1790" i="2"/>
  <c r="AF1791" i="2"/>
  <c r="AK1791" i="2" s="1"/>
  <c r="AG1791" i="2"/>
  <c r="AH1791" i="2"/>
  <c r="AI1791" i="2"/>
  <c r="AJ1791" i="2"/>
  <c r="AF1792" i="2"/>
  <c r="AK1792" i="2" s="1"/>
  <c r="AG1792" i="2"/>
  <c r="AH1792" i="2"/>
  <c r="AI1792" i="2"/>
  <c r="AJ1792" i="2"/>
  <c r="AF1793" i="2"/>
  <c r="AK1793" i="2" s="1"/>
  <c r="AG1793" i="2"/>
  <c r="AH1793" i="2"/>
  <c r="AI1793" i="2"/>
  <c r="AJ1793" i="2"/>
  <c r="AF1794" i="2"/>
  <c r="AK1794" i="2" s="1"/>
  <c r="AG1794" i="2"/>
  <c r="AH1794" i="2"/>
  <c r="AI1794" i="2"/>
  <c r="AJ1794" i="2"/>
  <c r="AF1795" i="2"/>
  <c r="AK1795" i="2" s="1"/>
  <c r="AG1795" i="2"/>
  <c r="AH1795" i="2"/>
  <c r="AI1795" i="2"/>
  <c r="AJ1795" i="2"/>
  <c r="AF1796" i="2"/>
  <c r="AK1796" i="2" s="1"/>
  <c r="AG1796" i="2"/>
  <c r="AH1796" i="2"/>
  <c r="AI1796" i="2"/>
  <c r="AJ1796" i="2"/>
  <c r="AF1797" i="2"/>
  <c r="AK1797" i="2" s="1"/>
  <c r="AG1797" i="2"/>
  <c r="AH1797" i="2"/>
  <c r="AI1797" i="2"/>
  <c r="AJ1797" i="2"/>
  <c r="AF1798" i="2"/>
  <c r="AK1798" i="2" s="1"/>
  <c r="AG1798" i="2"/>
  <c r="AH1798" i="2"/>
  <c r="AI1798" i="2"/>
  <c r="AJ1798" i="2"/>
  <c r="AF1799" i="2"/>
  <c r="AK1799" i="2" s="1"/>
  <c r="AG1799" i="2"/>
  <c r="AH1799" i="2"/>
  <c r="AI1799" i="2"/>
  <c r="AJ1799" i="2"/>
  <c r="AF1800" i="2"/>
  <c r="AK1800" i="2" s="1"/>
  <c r="AG1800" i="2"/>
  <c r="AH1800" i="2"/>
  <c r="AI1800" i="2"/>
  <c r="AJ1800" i="2"/>
  <c r="AF1801" i="2"/>
  <c r="AK1801" i="2" s="1"/>
  <c r="AG1801" i="2"/>
  <c r="AH1801" i="2"/>
  <c r="AI1801" i="2"/>
  <c r="AJ1801" i="2"/>
  <c r="AF1802" i="2"/>
  <c r="AK1802" i="2" s="1"/>
  <c r="AG1802" i="2"/>
  <c r="AH1802" i="2"/>
  <c r="AI1802" i="2"/>
  <c r="AJ1802" i="2"/>
  <c r="AF1803" i="2"/>
  <c r="AK1803" i="2" s="1"/>
  <c r="AG1803" i="2"/>
  <c r="AH1803" i="2"/>
  <c r="AI1803" i="2"/>
  <c r="AJ1803" i="2"/>
  <c r="AF1804" i="2"/>
  <c r="AK1804" i="2" s="1"/>
  <c r="AG1804" i="2"/>
  <c r="AH1804" i="2"/>
  <c r="AI1804" i="2"/>
  <c r="AJ1804" i="2"/>
  <c r="AF1805" i="2"/>
  <c r="AK1805" i="2" s="1"/>
  <c r="AG1805" i="2"/>
  <c r="AH1805" i="2"/>
  <c r="AI1805" i="2"/>
  <c r="AJ1805" i="2"/>
  <c r="AF1806" i="2"/>
  <c r="AK1806" i="2" s="1"/>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s="1"/>
  <c r="AG1813" i="2"/>
  <c r="AH1813" i="2"/>
  <c r="AI1813" i="2"/>
  <c r="AJ1813" i="2"/>
  <c r="AF1814" i="2"/>
  <c r="AK1814" i="2" s="1"/>
  <c r="AG1814" i="2"/>
  <c r="AH1814" i="2"/>
  <c r="AI1814" i="2"/>
  <c r="AJ1814" i="2"/>
  <c r="AF1815" i="2"/>
  <c r="AK1815" i="2" s="1"/>
  <c r="AG1815" i="2"/>
  <c r="AH1815" i="2"/>
  <c r="AI1815" i="2"/>
  <c r="AJ1815" i="2"/>
  <c r="AF1816" i="2"/>
  <c r="AK1816" i="2" s="1"/>
  <c r="AG1816" i="2"/>
  <c r="AH1816" i="2"/>
  <c r="AI1816" i="2"/>
  <c r="AJ1816" i="2"/>
  <c r="AF1817" i="2"/>
  <c r="AK1817" i="2" s="1"/>
  <c r="AG1817" i="2"/>
  <c r="AH1817" i="2"/>
  <c r="AI1817" i="2"/>
  <c r="AJ1817" i="2"/>
  <c r="AF1818" i="2"/>
  <c r="AK1818" i="2" s="1"/>
  <c r="AG1818" i="2"/>
  <c r="AH1818" i="2"/>
  <c r="AI1818" i="2"/>
  <c r="AJ1818" i="2"/>
  <c r="AL1818" i="2" s="1"/>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L1883" i="2" s="1"/>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L1971" i="2" s="1"/>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L2015" i="2" s="1"/>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L2029" i="2" s="1"/>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H2175" i="2"/>
  <c r="AL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L2263" i="2" s="1"/>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L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L2314" i="2" s="1"/>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L2334" i="2" s="1"/>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L2355" i="2" s="1"/>
  <c r="AH2355" i="2"/>
  <c r="AI2355" i="2"/>
  <c r="AJ2355" i="2"/>
  <c r="AF2356" i="2"/>
  <c r="AK2356" i="2"/>
  <c r="AG2356" i="2"/>
  <c r="AH2356" i="2"/>
  <c r="AI2356" i="2"/>
  <c r="AJ2356" i="2"/>
  <c r="AF2357" i="2"/>
  <c r="AK2357" i="2"/>
  <c r="AG2357" i="2"/>
  <c r="AH2357" i="2"/>
  <c r="AL2357" i="2" s="1"/>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L2414" i="2" s="1"/>
  <c r="AG2414" i="2"/>
  <c r="AH2414" i="2"/>
  <c r="AI2414" i="2"/>
  <c r="AJ2414" i="2"/>
  <c r="AF2415" i="2"/>
  <c r="AK2415" i="2"/>
  <c r="AG2415" i="2"/>
  <c r="AH2415" i="2"/>
  <c r="AI2415" i="2"/>
  <c r="AJ2415" i="2"/>
  <c r="AF2416" i="2"/>
  <c r="AK2416" i="2"/>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L2438" i="2" s="1"/>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L2462" i="2" s="1"/>
  <c r="AG2462" i="2"/>
  <c r="AH2462" i="2"/>
  <c r="AI2462" i="2"/>
  <c r="AJ2462" i="2"/>
  <c r="AF2463" i="2"/>
  <c r="AK2463" i="2"/>
  <c r="AG2463" i="2"/>
  <c r="AL2463" i="2" s="1"/>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s="1"/>
  <c r="AG2475" i="2"/>
  <c r="AH2475" i="2"/>
  <c r="AI2475" i="2"/>
  <c r="AJ2475" i="2"/>
  <c r="AF2476" i="2"/>
  <c r="AK2476" i="2" s="1"/>
  <c r="AG2476" i="2"/>
  <c r="AH2476" i="2"/>
  <c r="AI2476" i="2"/>
  <c r="AJ2476" i="2"/>
  <c r="AL2476" i="2" s="1"/>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L2530" i="2" s="1"/>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H2544" i="2"/>
  <c r="AL2544" i="2" s="1"/>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s="1"/>
  <c r="AG2605" i="2"/>
  <c r="AH2605" i="2"/>
  <c r="AL2605" i="2"/>
  <c r="AI2605" i="2"/>
  <c r="AJ2605" i="2"/>
  <c r="AF2606" i="2"/>
  <c r="AK2606" i="2"/>
  <c r="AG2606" i="2"/>
  <c r="AH2606" i="2"/>
  <c r="AI2606" i="2"/>
  <c r="AJ2606" i="2"/>
  <c r="AF2607" i="2"/>
  <c r="AK2607" i="2" s="1"/>
  <c r="AG2607" i="2"/>
  <c r="AH2607" i="2"/>
  <c r="AI2607" i="2"/>
  <c r="AJ2607" i="2"/>
  <c r="AF2608" i="2"/>
  <c r="AK2608" i="2" s="1"/>
  <c r="AG2608" i="2"/>
  <c r="AH2608" i="2"/>
  <c r="AL2608" i="2" s="1"/>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L2622" i="2" s="1"/>
  <c r="AI2622" i="2"/>
  <c r="AJ2622" i="2"/>
  <c r="AF2623" i="2"/>
  <c r="AK2623" i="2" s="1"/>
  <c r="AG2623" i="2"/>
  <c r="AH2623" i="2"/>
  <c r="AI2623" i="2"/>
  <c r="AJ2623" i="2"/>
  <c r="AF2624" i="2"/>
  <c r="AK2624" i="2" s="1"/>
  <c r="AG2624" i="2"/>
  <c r="AH2624" i="2"/>
  <c r="AI2624" i="2"/>
  <c r="AJ2624" i="2"/>
  <c r="AL2624" i="2" s="1"/>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G2637" i="2"/>
  <c r="AH2637" i="2"/>
  <c r="AI2637" i="2"/>
  <c r="AJ2637" i="2"/>
  <c r="AL2637" i="2" s="1"/>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L2663" i="2" s="1"/>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L2679" i="2" s="1"/>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L2705" i="2" s="1"/>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L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L2827" i="2" s="1"/>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L2923" i="2" s="1"/>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s="1"/>
  <c r="AG3017" i="2"/>
  <c r="AH3017" i="2"/>
  <c r="AI3017" i="2"/>
  <c r="AJ3017" i="2"/>
  <c r="AF3018" i="2"/>
  <c r="AK3018" i="2" s="1"/>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L3099" i="2" s="1"/>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J3284" i="2"/>
  <c r="AL3284" i="2" s="1"/>
  <c r="AF3285" i="2"/>
  <c r="AK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s="1"/>
  <c r="AG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L3327" i="2" s="1"/>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L3360" i="2" s="1"/>
  <c r="AH3360" i="2"/>
  <c r="AI3360" i="2"/>
  <c r="AJ3360" i="2"/>
  <c r="AF3361" i="2"/>
  <c r="AK3361" i="2" s="1"/>
  <c r="AG3361" i="2"/>
  <c r="AH3361" i="2"/>
  <c r="AI3361" i="2"/>
  <c r="AJ3361" i="2"/>
  <c r="AF3362" i="2"/>
  <c r="AK3362" i="2"/>
  <c r="AG3362" i="2"/>
  <c r="AH3362" i="2"/>
  <c r="AI3362" i="2"/>
  <c r="AJ3362" i="2"/>
  <c r="AF3363" i="2"/>
  <c r="AK3363" i="2" s="1"/>
  <c r="AG3363" i="2"/>
  <c r="AH3363" i="2"/>
  <c r="AL3363" i="2" s="1"/>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G3385" i="2"/>
  <c r="AH3385" i="2"/>
  <c r="AL3385" i="2" s="1"/>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L3414" i="2" s="1"/>
  <c r="AJ3414" i="2"/>
  <c r="AF3415" i="2"/>
  <c r="AK3415" i="2" s="1"/>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c r="AG3440" i="2"/>
  <c r="AH3440" i="2"/>
  <c r="AI3440" i="2"/>
  <c r="AJ3440" i="2"/>
  <c r="AF3441" i="2"/>
  <c r="AK3441" i="2"/>
  <c r="AG3441" i="2"/>
  <c r="AH3441" i="2"/>
  <c r="AI3441" i="2"/>
  <c r="AJ3441" i="2"/>
  <c r="AF3442" i="2"/>
  <c r="AK3442" i="2" s="1"/>
  <c r="AG3442" i="2"/>
  <c r="AH3442" i="2"/>
  <c r="AI3442" i="2"/>
  <c r="AJ3442" i="2"/>
  <c r="AL3442" i="2" s="1"/>
  <c r="AF3443" i="2"/>
  <c r="AK3443" i="2"/>
  <c r="AG3443" i="2"/>
  <c r="AH3443" i="2"/>
  <c r="AL3443" i="2" s="1"/>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L3464" i="2" s="1"/>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c r="AG3468" i="2"/>
  <c r="AL3468" i="2" s="1"/>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L3480" i="2" s="1"/>
  <c r="AI3480" i="2"/>
  <c r="AJ3480" i="2"/>
  <c r="AF3481" i="2"/>
  <c r="AK3481" i="2"/>
  <c r="AG3481" i="2"/>
  <c r="AL3481" i="2" s="1"/>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L3492" i="2" s="1"/>
  <c r="AF3493" i="2"/>
  <c r="AK3493" i="2" s="1"/>
  <c r="AG3493" i="2"/>
  <c r="AH3493" i="2"/>
  <c r="AL3493" i="2"/>
  <c r="AI3493" i="2"/>
  <c r="AJ3493" i="2"/>
  <c r="AF3494" i="2"/>
  <c r="AG3494" i="2"/>
  <c r="AH3494" i="2"/>
  <c r="AI3494" i="2"/>
  <c r="AJ3494" i="2"/>
  <c r="AK3494" i="2"/>
  <c r="AF3495" i="2"/>
  <c r="AK3495" i="2"/>
  <c r="AG3495" i="2"/>
  <c r="AH3495" i="2"/>
  <c r="AI3495" i="2"/>
  <c r="AJ3495" i="2"/>
  <c r="AF3496" i="2"/>
  <c r="AK3496" i="2"/>
  <c r="AG3496" i="2"/>
  <c r="AH3496" i="2"/>
  <c r="AI3496" i="2"/>
  <c r="AJ3496" i="2"/>
  <c r="AF3497" i="2"/>
  <c r="AK3497" i="2"/>
  <c r="AG3497" i="2"/>
  <c r="AH3497" i="2"/>
  <c r="AL3497" i="2" s="1"/>
  <c r="AI3497" i="2"/>
  <c r="AJ3497" i="2"/>
  <c r="AF3498" i="2"/>
  <c r="AK3498" i="2" s="1"/>
  <c r="AG3498" i="2"/>
  <c r="AH3498" i="2"/>
  <c r="AI3498" i="2"/>
  <c r="AJ3498" i="2"/>
  <c r="AF3499" i="2"/>
  <c r="AG3499" i="2"/>
  <c r="AH3499" i="2"/>
  <c r="AL3499" i="2" s="1"/>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c r="AG3516" i="2"/>
  <c r="AH3516" i="2"/>
  <c r="AI3516" i="2"/>
  <c r="AJ3516" i="2"/>
  <c r="AF3517" i="2"/>
  <c r="AK3517" i="2"/>
  <c r="AG3517" i="2"/>
  <c r="AL3517" i="2" s="1"/>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L3521" i="2" s="1"/>
  <c r="AF3522" i="2"/>
  <c r="AK3522" i="2"/>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L3526" i="2" s="1"/>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H3530" i="2"/>
  <c r="AI3530" i="2"/>
  <c r="AJ3530" i="2"/>
  <c r="AL3530" i="2" s="1"/>
  <c r="AF3531" i="2"/>
  <c r="AK3531" i="2"/>
  <c r="AG3531" i="2"/>
  <c r="AL3531" i="2" s="1"/>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L3548" i="2" s="1"/>
  <c r="AF3549" i="2"/>
  <c r="AK3549" i="2"/>
  <c r="AG3549" i="2"/>
  <c r="AH3549" i="2"/>
  <c r="AI3549" i="2"/>
  <c r="AJ3549" i="2"/>
  <c r="AF3550" i="2"/>
  <c r="AK3550" i="2"/>
  <c r="AG3550" i="2"/>
  <c r="AH3550" i="2"/>
  <c r="AI3550" i="2"/>
  <c r="AJ3550" i="2"/>
  <c r="AF3551" i="2"/>
  <c r="AK3551" i="2"/>
  <c r="AG3551" i="2"/>
  <c r="AH3551" i="2"/>
  <c r="AI3551" i="2"/>
  <c r="AJ3551" i="2"/>
  <c r="AF3552" i="2"/>
  <c r="AK3552" i="2"/>
  <c r="AG3552" i="2"/>
  <c r="AL3552" i="2" s="1"/>
  <c r="AH3552" i="2"/>
  <c r="AI3552" i="2"/>
  <c r="AJ3552" i="2"/>
  <c r="AF3553" i="2"/>
  <c r="AK3553" i="2" s="1"/>
  <c r="AG3553" i="2"/>
  <c r="AH3553" i="2"/>
  <c r="AI3553" i="2"/>
  <c r="AJ3553" i="2"/>
  <c r="AF3554" i="2"/>
  <c r="AK3554" i="2" s="1"/>
  <c r="AG3554" i="2"/>
  <c r="AH3554" i="2"/>
  <c r="AI3554" i="2"/>
  <c r="AJ3554" i="2"/>
  <c r="AF3555" i="2"/>
  <c r="AK3555" i="2" s="1"/>
  <c r="AL3555" i="2" s="1"/>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L3610" i="2" s="1"/>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L3616" i="2" s="1"/>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L3676" i="2" s="1"/>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L3709" i="2" s="1"/>
  <c r="AJ3709" i="2"/>
  <c r="AF3710" i="2"/>
  <c r="AK3710" i="2" s="1"/>
  <c r="AG3710" i="2"/>
  <c r="AH3710" i="2"/>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L3721" i="2" s="1"/>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L3726" i="2" s="1"/>
  <c r="AH3726" i="2"/>
  <c r="AI3726" i="2"/>
  <c r="AJ3726" i="2"/>
  <c r="AF3727" i="2"/>
  <c r="AK3727" i="2"/>
  <c r="AG3727" i="2"/>
  <c r="AH3727" i="2"/>
  <c r="AI3727" i="2"/>
  <c r="AJ3727" i="2"/>
  <c r="AF3728" i="2"/>
  <c r="AK3728" i="2"/>
  <c r="AG3728" i="2"/>
  <c r="AL3728" i="2" s="1"/>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L3735" i="2" s="1"/>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c r="AH3740" i="2"/>
  <c r="AI3740" i="2"/>
  <c r="AJ3740" i="2"/>
  <c r="AF3741" i="2"/>
  <c r="AK3741" i="2" s="1"/>
  <c r="AG3741" i="2"/>
  <c r="AH3741" i="2"/>
  <c r="AI3741" i="2"/>
  <c r="AJ3741" i="2"/>
  <c r="AF3742" i="2"/>
  <c r="AK3742" i="2"/>
  <c r="AG3742" i="2"/>
  <c r="AH3742" i="2"/>
  <c r="AI3742" i="2"/>
  <c r="AJ3742" i="2"/>
  <c r="AF3743" i="2"/>
  <c r="AK3743" i="2"/>
  <c r="AG3743" i="2"/>
  <c r="AL3743" i="2" s="1"/>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I3756" i="2"/>
  <c r="AJ3756" i="2"/>
  <c r="AF3757" i="2"/>
  <c r="AK3757" i="2" s="1"/>
  <c r="AG3757" i="2"/>
  <c r="AH3757" i="2"/>
  <c r="AI3757" i="2"/>
  <c r="AJ3757" i="2"/>
  <c r="AF3758" i="2"/>
  <c r="AK3758" i="2"/>
  <c r="AG3758" i="2"/>
  <c r="AH3758" i="2"/>
  <c r="AL3758" i="2" s="1"/>
  <c r="AI3758" i="2"/>
  <c r="AJ3758" i="2"/>
  <c r="AF3759" i="2"/>
  <c r="AK3759" i="2" s="1"/>
  <c r="AG3759" i="2"/>
  <c r="AH3759" i="2"/>
  <c r="AI3759" i="2"/>
  <c r="AJ3759" i="2"/>
  <c r="AF3760" i="2"/>
  <c r="AK3760" i="2" s="1"/>
  <c r="AG3760" i="2"/>
  <c r="AH3760" i="2"/>
  <c r="AI3760" i="2"/>
  <c r="AJ3760" i="2"/>
  <c r="AL3760" i="2" s="1"/>
  <c r="AF3761" i="2"/>
  <c r="AK3761" i="2"/>
  <c r="AG3761" i="2"/>
  <c r="AL3761" i="2" s="1"/>
  <c r="AH3761" i="2"/>
  <c r="AI3761" i="2"/>
  <c r="AJ3761" i="2"/>
  <c r="AF3762" i="2"/>
  <c r="AK3762" i="2" s="1"/>
  <c r="AG3762" i="2"/>
  <c r="AH3762" i="2"/>
  <c r="AI3762" i="2"/>
  <c r="AJ3762" i="2"/>
  <c r="AF3763" i="2"/>
  <c r="AK3763" i="2" s="1"/>
  <c r="AG3763" i="2"/>
  <c r="AH3763" i="2"/>
  <c r="AI3763" i="2"/>
  <c r="AJ3763" i="2"/>
  <c r="AF3764" i="2"/>
  <c r="AK3764" i="2" s="1"/>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L3775" i="2" s="1"/>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L3825" i="2" s="1"/>
  <c r="AI3825" i="2"/>
  <c r="AJ3825" i="2"/>
  <c r="AF3826" i="2"/>
  <c r="AK3826" i="2"/>
  <c r="AG3826" i="2"/>
  <c r="AH3826" i="2"/>
  <c r="AI3826" i="2"/>
  <c r="AJ3826" i="2"/>
  <c r="AF3827" i="2"/>
  <c r="AK3827" i="2" s="1"/>
  <c r="AG3827" i="2"/>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c r="AG3833" i="2"/>
  <c r="AH3833" i="2"/>
  <c r="AI3833" i="2"/>
  <c r="AJ3833" i="2"/>
  <c r="AF3834" i="2"/>
  <c r="AK3834" i="2" s="1"/>
  <c r="AG3834" i="2"/>
  <c r="AH3834" i="2"/>
  <c r="AI3834" i="2"/>
  <c r="AJ3834" i="2"/>
  <c r="AF3835" i="2"/>
  <c r="AK3835" i="2"/>
  <c r="AG3835" i="2"/>
  <c r="AH3835" i="2"/>
  <c r="AI3835" i="2"/>
  <c r="AL3835" i="2" s="1"/>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L3884" i="2" s="1"/>
  <c r="AG3884" i="2"/>
  <c r="AH3884" i="2"/>
  <c r="AI3884" i="2"/>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L3899" i="2"/>
  <c r="AF3900" i="2"/>
  <c r="AK3900" i="2" s="1"/>
  <c r="AL3900" i="2" s="1"/>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J3914" i="2"/>
  <c r="AF3915" i="2"/>
  <c r="AK3915" i="2" s="1"/>
  <c r="AL3915" i="2" s="1"/>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J3936" i="2"/>
  <c r="AL3936" i="2"/>
  <c r="AF3937" i="2"/>
  <c r="AK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L3947" i="2" s="1"/>
  <c r="AG3947" i="2"/>
  <c r="AH3947" i="2"/>
  <c r="AI3947" i="2"/>
  <c r="AJ3947" i="2"/>
  <c r="AF3948" i="2"/>
  <c r="AK3948" i="2" s="1"/>
  <c r="AG3948" i="2"/>
  <c r="AH3948" i="2"/>
  <c r="AL3948" i="2" s="1"/>
  <c r="AI3948" i="2"/>
  <c r="AJ3948" i="2"/>
  <c r="AF3949" i="2"/>
  <c r="AK3949" i="2"/>
  <c r="AG3949" i="2"/>
  <c r="AH3949" i="2"/>
  <c r="AI3949" i="2"/>
  <c r="AJ3949" i="2"/>
  <c r="AF3950" i="2"/>
  <c r="AK3950" i="2" s="1"/>
  <c r="AG3950" i="2"/>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s="1"/>
  <c r="AG3955" i="2"/>
  <c r="AL3955" i="2" s="1"/>
  <c r="AH3955" i="2"/>
  <c r="AI3955" i="2"/>
  <c r="AJ3955" i="2"/>
  <c r="AF3956" i="2"/>
  <c r="AK3956" i="2" s="1"/>
  <c r="AG3956" i="2"/>
  <c r="AH3956" i="2"/>
  <c r="AI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G3989" i="2"/>
  <c r="AH3989" i="2"/>
  <c r="AL3989" i="2" s="1"/>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L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L4072" i="2"/>
  <c r="AJ4072" i="2"/>
  <c r="AF4073" i="2"/>
  <c r="AK4073" i="2"/>
  <c r="AG4073" i="2"/>
  <c r="AH4073" i="2"/>
  <c r="AI4073" i="2"/>
  <c r="AJ4073" i="2"/>
  <c r="AF4074" i="2"/>
  <c r="AK4074" i="2" s="1"/>
  <c r="AG4074" i="2"/>
  <c r="AH4074" i="2"/>
  <c r="AI4074" i="2"/>
  <c r="AJ4074" i="2"/>
  <c r="AF4075" i="2"/>
  <c r="AK4075" i="2"/>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L4097" i="2" s="1"/>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s="1"/>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c r="AG4114" i="2"/>
  <c r="AH4114" i="2"/>
  <c r="AI4114" i="2"/>
  <c r="AL4114" i="2" s="1"/>
  <c r="AJ4114" i="2"/>
  <c r="AF4115" i="2"/>
  <c r="AK4115" i="2"/>
  <c r="AG4115" i="2"/>
  <c r="AH4115" i="2"/>
  <c r="AI4115" i="2"/>
  <c r="AJ4115" i="2"/>
  <c r="AF4116" i="2"/>
  <c r="AK4116" i="2" s="1"/>
  <c r="AG4116" i="2"/>
  <c r="AH4116" i="2"/>
  <c r="AI4116" i="2"/>
  <c r="AJ4116" i="2"/>
  <c r="AF4117" i="2"/>
  <c r="AG4117" i="2"/>
  <c r="AL4117" i="2" s="1"/>
  <c r="AH4117" i="2"/>
  <c r="AI4117" i="2"/>
  <c r="AJ4117" i="2"/>
  <c r="AK4117" i="2"/>
  <c r="AF4118" i="2"/>
  <c r="AK4118" i="2"/>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c r="AG4146" i="2"/>
  <c r="AH4146" i="2"/>
  <c r="AI4146" i="2"/>
  <c r="AJ4146" i="2"/>
  <c r="AF4147" i="2"/>
  <c r="AK4147" i="2" s="1"/>
  <c r="AG4147" i="2"/>
  <c r="AH4147" i="2"/>
  <c r="AL4147" i="2" s="1"/>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L4162" i="2" s="1"/>
  <c r="AI4162" i="2"/>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s="1"/>
  <c r="AG4170" i="2"/>
  <c r="AH4170" i="2"/>
  <c r="AL4170" i="2" s="1"/>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G4191" i="2"/>
  <c r="AH4191" i="2"/>
  <c r="AI4191" i="2"/>
  <c r="AJ4191" i="2"/>
  <c r="AF4192" i="2"/>
  <c r="AK4192" i="2" s="1"/>
  <c r="AG4192" i="2"/>
  <c r="AH4192" i="2"/>
  <c r="AI4192" i="2"/>
  <c r="AJ4192" i="2"/>
  <c r="AL4192" i="2"/>
  <c r="AF4193" i="2"/>
  <c r="AK4193" i="2" s="1"/>
  <c r="AG4193" i="2"/>
  <c r="AH4193" i="2"/>
  <c r="AI4193" i="2"/>
  <c r="AJ4193" i="2"/>
  <c r="AF4194" i="2"/>
  <c r="AK4194" i="2"/>
  <c r="AG4194" i="2"/>
  <c r="AH4194" i="2"/>
  <c r="AI4194" i="2"/>
  <c r="AJ4194" i="2"/>
  <c r="AF4195" i="2"/>
  <c r="AK4195" i="2" s="1"/>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L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L4213" i="2" s="1"/>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L4228" i="2" s="1"/>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L4244" i="2" s="1"/>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s="1"/>
  <c r="AG4252" i="2"/>
  <c r="AL4252" i="2" s="1"/>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J4256" i="2"/>
  <c r="AL4256" i="2" s="1"/>
  <c r="AF4257" i="2"/>
  <c r="AK4257" i="2" s="1"/>
  <c r="AG4257" i="2"/>
  <c r="AL4257" i="2" s="1"/>
  <c r="AH4257" i="2"/>
  <c r="AI4257" i="2"/>
  <c r="AJ4257" i="2"/>
  <c r="AF4258" i="2"/>
  <c r="AK4258" i="2" s="1"/>
  <c r="AG4258" i="2"/>
  <c r="AH4258" i="2"/>
  <c r="AI4258" i="2"/>
  <c r="AJ4258" i="2"/>
  <c r="AF4259" i="2"/>
  <c r="AK4259" i="2"/>
  <c r="AG4259" i="2"/>
  <c r="AH4259" i="2"/>
  <c r="AI4259" i="2"/>
  <c r="AJ4259" i="2"/>
  <c r="AF4260" i="2"/>
  <c r="AK4260" i="2" s="1"/>
  <c r="AG4260" i="2"/>
  <c r="AH4260" i="2"/>
  <c r="AI4260" i="2"/>
  <c r="AJ4260" i="2"/>
  <c r="AL4260" i="2" s="1"/>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K4270" i="2" s="1"/>
  <c r="AL4270" i="2" s="1"/>
  <c r="AG4270" i="2"/>
  <c r="AH4270" i="2"/>
  <c r="AI4270" i="2"/>
  <c r="AJ4270" i="2"/>
  <c r="AF4271" i="2"/>
  <c r="AK4271" i="2" s="1"/>
  <c r="AG4271" i="2"/>
  <c r="AH4271" i="2"/>
  <c r="AI4271" i="2"/>
  <c r="AJ4271" i="2"/>
  <c r="AF4272" i="2"/>
  <c r="AK4272" i="2"/>
  <c r="AG4272" i="2"/>
  <c r="AH4272" i="2"/>
  <c r="AI4272" i="2"/>
  <c r="AJ4272" i="2"/>
  <c r="AF4273" i="2"/>
  <c r="AK4273" i="2" s="1"/>
  <c r="AG4273" i="2"/>
  <c r="AH4273" i="2"/>
  <c r="AI4273" i="2"/>
  <c r="AJ4273" i="2"/>
  <c r="AF4274" i="2"/>
  <c r="AK4274" i="2"/>
  <c r="AG4274" i="2"/>
  <c r="AH4274" i="2"/>
  <c r="AI4274" i="2"/>
  <c r="AL4274" i="2" s="1"/>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L4280" i="2" s="1"/>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c r="AG4287" i="2"/>
  <c r="AH4287" i="2"/>
  <c r="AI4287" i="2"/>
  <c r="AJ4287" i="2"/>
  <c r="AF4288" i="2"/>
  <c r="AK4288" i="2" s="1"/>
  <c r="AG4288" i="2"/>
  <c r="AH4288" i="2"/>
  <c r="AI4288" i="2"/>
  <c r="AJ4288" i="2"/>
  <c r="AF4289" i="2"/>
  <c r="AK4289" i="2"/>
  <c r="AG4289" i="2"/>
  <c r="AL4289" i="2" s="1"/>
  <c r="AH4289" i="2"/>
  <c r="AI4289" i="2"/>
  <c r="AJ4289" i="2"/>
  <c r="AF4290" i="2"/>
  <c r="AK4290" i="2" s="1"/>
  <c r="AG4290" i="2"/>
  <c r="AH4290" i="2"/>
  <c r="AI4290" i="2"/>
  <c r="AJ4290" i="2"/>
  <c r="AF4291" i="2"/>
  <c r="AK4291" i="2"/>
  <c r="AG4291" i="2"/>
  <c r="AH4291" i="2"/>
  <c r="AI4291" i="2"/>
  <c r="AJ4291" i="2"/>
  <c r="AF4292" i="2"/>
  <c r="AK4292" i="2" s="1"/>
  <c r="AG4292" i="2"/>
  <c r="AH4292" i="2"/>
  <c r="AI4292" i="2"/>
  <c r="AJ4292" i="2"/>
  <c r="AF4293" i="2"/>
  <c r="AK4293" i="2" s="1"/>
  <c r="AL4293" i="2" s="1"/>
  <c r="AG4293" i="2"/>
  <c r="AH4293" i="2"/>
  <c r="AI4293" i="2"/>
  <c r="AJ4293" i="2"/>
  <c r="AF4294" i="2"/>
  <c r="AK4294" i="2" s="1"/>
  <c r="AG4294" i="2"/>
  <c r="AL4294" i="2" s="1"/>
  <c r="AH4294" i="2"/>
  <c r="AI4294" i="2"/>
  <c r="AJ4294" i="2"/>
  <c r="AF4295" i="2"/>
  <c r="AK4295" i="2" s="1"/>
  <c r="AG4295" i="2"/>
  <c r="AH4295" i="2"/>
  <c r="AL4295" i="2" s="1"/>
  <c r="AI4295" i="2"/>
  <c r="AJ4295" i="2"/>
  <c r="AF4296" i="2"/>
  <c r="AK4296" i="2" s="1"/>
  <c r="AG4296" i="2"/>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G4304" i="2"/>
  <c r="AL4304" i="2" s="1"/>
  <c r="AH4304" i="2"/>
  <c r="AI4304" i="2"/>
  <c r="AJ4304" i="2"/>
  <c r="AF4305" i="2"/>
  <c r="AK4305" i="2" s="1"/>
  <c r="AG4305" i="2"/>
  <c r="AH4305" i="2"/>
  <c r="AI4305" i="2"/>
  <c r="AJ4305" i="2"/>
  <c r="AF4306" i="2"/>
  <c r="AK4306" i="2"/>
  <c r="AG4306" i="2"/>
  <c r="AH4306" i="2"/>
  <c r="AI4306" i="2"/>
  <c r="AJ4306" i="2"/>
  <c r="AL4306" i="2" s="1"/>
  <c r="AF4307" i="2"/>
  <c r="AK4307" i="2" s="1"/>
  <c r="AG4307" i="2"/>
  <c r="AH4307" i="2"/>
  <c r="AI4307" i="2"/>
  <c r="AJ4307" i="2"/>
  <c r="AF4308" i="2"/>
  <c r="AK4308" i="2" s="1"/>
  <c r="AL4308" i="2" s="1"/>
  <c r="AG4308" i="2"/>
  <c r="AH4308" i="2"/>
  <c r="AI4308" i="2"/>
  <c r="AJ4308" i="2"/>
  <c r="AF4309" i="2"/>
  <c r="AK4309" i="2" s="1"/>
  <c r="AG4309" i="2"/>
  <c r="AH4309" i="2"/>
  <c r="AI4309" i="2"/>
  <c r="AJ4309" i="2"/>
  <c r="AF4310" i="2"/>
  <c r="AK4310" i="2"/>
  <c r="AG4310" i="2"/>
  <c r="AH4310" i="2"/>
  <c r="AI4310" i="2"/>
  <c r="AJ4310" i="2"/>
  <c r="AF4311" i="2"/>
  <c r="AK4311" i="2" s="1"/>
  <c r="AG4311" i="2"/>
  <c r="AL4311" i="2" s="1"/>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L4318" i="2"/>
  <c r="AH4318" i="2"/>
  <c r="AI4318" i="2"/>
  <c r="AJ4318" i="2"/>
  <c r="AF4319" i="2"/>
  <c r="AK4319" i="2" s="1"/>
  <c r="AL4319" i="2" s="1"/>
  <c r="AG4319" i="2"/>
  <c r="AH4319" i="2"/>
  <c r="AI4319" i="2"/>
  <c r="AJ4319" i="2"/>
  <c r="AF4320" i="2"/>
  <c r="AK4320" i="2" s="1"/>
  <c r="AG4320" i="2"/>
  <c r="AL4320" i="2"/>
  <c r="AH4320" i="2"/>
  <c r="AI4320" i="2"/>
  <c r="AJ4320" i="2"/>
  <c r="AF4321" i="2"/>
  <c r="AK4321" i="2" s="1"/>
  <c r="AL4321" i="2" s="1"/>
  <c r="AG4321" i="2"/>
  <c r="AH4321" i="2"/>
  <c r="AI4321" i="2"/>
  <c r="AJ4321" i="2"/>
  <c r="AF4322" i="2"/>
  <c r="AK4322" i="2"/>
  <c r="AG4322" i="2"/>
  <c r="AL4322" i="2" s="1"/>
  <c r="AH4322" i="2"/>
  <c r="AI4322" i="2"/>
  <c r="AJ4322" i="2"/>
  <c r="AF4323" i="2"/>
  <c r="AK4323" i="2" s="1"/>
  <c r="AG4323" i="2"/>
  <c r="AH4323" i="2"/>
  <c r="AI4323" i="2"/>
  <c r="AL4323" i="2" s="1"/>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s="1"/>
  <c r="AL4351" i="2" s="1"/>
  <c r="AG4351" i="2"/>
  <c r="AH4351" i="2"/>
  <c r="AI4351" i="2"/>
  <c r="AJ4351" i="2"/>
  <c r="AF4352" i="2"/>
  <c r="AK4352" i="2" s="1"/>
  <c r="AG4352" i="2"/>
  <c r="AH4352" i="2"/>
  <c r="AI4352" i="2"/>
  <c r="AJ4352" i="2"/>
  <c r="AF4353" i="2"/>
  <c r="AK4353" i="2"/>
  <c r="AG4353" i="2"/>
  <c r="AH4353" i="2"/>
  <c r="AI4353" i="2"/>
  <c r="AJ4353" i="2"/>
  <c r="AF4354" i="2"/>
  <c r="AK4354" i="2" s="1"/>
  <c r="AG4354" i="2"/>
  <c r="AH4354" i="2"/>
  <c r="AL4354" i="2" s="1"/>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c r="AG4358" i="2"/>
  <c r="AH4358" i="2"/>
  <c r="AI4358" i="2"/>
  <c r="AJ4358" i="2"/>
  <c r="AF4359" i="2"/>
  <c r="AK4359" i="2" s="1"/>
  <c r="AG4359" i="2"/>
  <c r="AH4359" i="2"/>
  <c r="AI4359" i="2"/>
  <c r="AJ4359" i="2"/>
  <c r="AF4360" i="2"/>
  <c r="AK4360" i="2" s="1"/>
  <c r="AG4360" i="2"/>
  <c r="AH4360" i="2"/>
  <c r="AI4360" i="2"/>
  <c r="AJ4360" i="2"/>
  <c r="AF4361" i="2"/>
  <c r="AK4361" i="2"/>
  <c r="AG4361" i="2"/>
  <c r="AL4361" i="2" s="1"/>
  <c r="AH4361" i="2"/>
  <c r="AI4361" i="2"/>
  <c r="AJ4361" i="2"/>
  <c r="AF4362" i="2"/>
  <c r="AK4362" i="2" s="1"/>
  <c r="AG4362" i="2"/>
  <c r="AH4362" i="2"/>
  <c r="AI4362" i="2"/>
  <c r="AJ4362" i="2"/>
  <c r="AF4363" i="2"/>
  <c r="AK4363" i="2" s="1"/>
  <c r="AL4363" i="2" s="1"/>
  <c r="AG4363" i="2"/>
  <c r="AH4363" i="2"/>
  <c r="AI4363" i="2"/>
  <c r="AJ4363" i="2"/>
  <c r="AF4364" i="2"/>
  <c r="AK4364" i="2" s="1"/>
  <c r="AG4364" i="2"/>
  <c r="AL4364" i="2" s="1"/>
  <c r="AH4364" i="2"/>
  <c r="AI4364" i="2"/>
  <c r="AJ4364" i="2"/>
  <c r="AF4365" i="2"/>
  <c r="AK4365" i="2" s="1"/>
  <c r="AL4365" i="2" s="1"/>
  <c r="AG4365" i="2"/>
  <c r="AH4365" i="2"/>
  <c r="AI4365" i="2"/>
  <c r="AJ4365" i="2"/>
  <c r="AF4366" i="2"/>
  <c r="AK4366" i="2"/>
  <c r="AG4366" i="2"/>
  <c r="AH4366" i="2"/>
  <c r="AI4366" i="2"/>
  <c r="AJ4366" i="2"/>
  <c r="AF4367" i="2"/>
  <c r="AK4367" i="2" s="1"/>
  <c r="AL4367" i="2" s="1"/>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H4372" i="2"/>
  <c r="AI4372" i="2"/>
  <c r="AL4372" i="2" s="1"/>
  <c r="AJ4372" i="2"/>
  <c r="AF4373" i="2"/>
  <c r="AK4373" i="2"/>
  <c r="AG4373" i="2"/>
  <c r="AH4373" i="2"/>
  <c r="AI4373" i="2"/>
  <c r="AJ4373" i="2"/>
  <c r="AL4373" i="2" s="1"/>
  <c r="AF4374" i="2"/>
  <c r="AK4374" i="2" s="1"/>
  <c r="AG4374" i="2"/>
  <c r="AH4374" i="2"/>
  <c r="AI4374" i="2"/>
  <c r="AJ4374" i="2"/>
  <c r="AF4375" i="2"/>
  <c r="AK4375" i="2" s="1"/>
  <c r="AL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L4380" i="2" s="1"/>
  <c r="AJ4380" i="2"/>
  <c r="AF4381" i="2"/>
  <c r="AK4381" i="2" s="1"/>
  <c r="AG4381" i="2"/>
  <c r="AH4381" i="2"/>
  <c r="AI4381" i="2"/>
  <c r="AJ4381" i="2"/>
  <c r="AF4382" i="2"/>
  <c r="AK4382" i="2"/>
  <c r="AG4382" i="2"/>
  <c r="AH4382" i="2"/>
  <c r="AI4382" i="2"/>
  <c r="AJ4382" i="2"/>
  <c r="AF4383" i="2"/>
  <c r="AK4383" i="2" s="1"/>
  <c r="AG4383" i="2"/>
  <c r="AL4383" i="2" s="1"/>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L4390" i="2" s="1"/>
  <c r="AG4390" i="2"/>
  <c r="AH4390" i="2"/>
  <c r="AI4390" i="2"/>
  <c r="AJ4390" i="2"/>
  <c r="AF4391" i="2"/>
  <c r="AK4391" i="2" s="1"/>
  <c r="AG4391" i="2"/>
  <c r="AH4391" i="2"/>
  <c r="AL4391" i="2" s="1"/>
  <c r="AI4391" i="2"/>
  <c r="AJ4391" i="2"/>
  <c r="AF4392" i="2"/>
  <c r="AK4392" i="2"/>
  <c r="AG4392" i="2"/>
  <c r="AH4392" i="2"/>
  <c r="AI4392" i="2"/>
  <c r="AJ4392" i="2"/>
  <c r="AF4393" i="2"/>
  <c r="AK4393" i="2" s="1"/>
  <c r="AG4393" i="2"/>
  <c r="AH4393" i="2"/>
  <c r="AI4393" i="2"/>
  <c r="AJ4393" i="2"/>
  <c r="AF4394" i="2"/>
  <c r="AK4394" i="2" s="1"/>
  <c r="AL4394" i="2" s="1"/>
  <c r="AG4394" i="2"/>
  <c r="AH4394" i="2"/>
  <c r="AI4394" i="2"/>
  <c r="AJ4394" i="2"/>
  <c r="AF4395" i="2"/>
  <c r="AK4395" i="2" s="1"/>
  <c r="AG4395" i="2"/>
  <c r="AH4395" i="2"/>
  <c r="AI4395" i="2"/>
  <c r="AJ4395" i="2"/>
  <c r="AF4396" i="2"/>
  <c r="AK4396" i="2"/>
  <c r="AG4396" i="2"/>
  <c r="AH4396" i="2"/>
  <c r="AI4396" i="2"/>
  <c r="AJ4396" i="2"/>
  <c r="AF4397" i="2"/>
  <c r="AK4397" i="2" s="1"/>
  <c r="AG4397" i="2"/>
  <c r="AH4397" i="2"/>
  <c r="AL4397" i="2" s="1"/>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L4402" i="2" s="1"/>
  <c r="AJ4402" i="2"/>
  <c r="AF4403" i="2"/>
  <c r="AK4403" i="2" s="1"/>
  <c r="AG4403" i="2"/>
  <c r="AH4403" i="2"/>
  <c r="AI4403" i="2"/>
  <c r="AJ4403" i="2"/>
  <c r="AF4404" i="2"/>
  <c r="AK4404" i="2"/>
  <c r="AG4404" i="2"/>
  <c r="AH4404" i="2"/>
  <c r="AI4404" i="2"/>
  <c r="AJ4404" i="2"/>
  <c r="AF4405" i="2"/>
  <c r="AK4405" i="2" s="1"/>
  <c r="AG4405" i="2"/>
  <c r="AH4405" i="2"/>
  <c r="AI4405" i="2"/>
  <c r="AJ4405" i="2"/>
  <c r="AF4406" i="2"/>
  <c r="AK4406" i="2" s="1"/>
  <c r="AL4406" i="2" s="1"/>
  <c r="AG4406" i="2"/>
  <c r="AH4406" i="2"/>
  <c r="AI4406" i="2"/>
  <c r="AJ4406" i="2"/>
  <c r="AF4407" i="2"/>
  <c r="AK4407" i="2"/>
  <c r="AG4407" i="2"/>
  <c r="AH4407" i="2"/>
  <c r="AI4407" i="2"/>
  <c r="AJ4407" i="2"/>
  <c r="AF4408" i="2"/>
  <c r="AK4408" i="2" s="1"/>
  <c r="AG4408" i="2"/>
  <c r="AL4408" i="2" s="1"/>
  <c r="AH4408" i="2"/>
  <c r="AI4408" i="2"/>
  <c r="AJ4408" i="2"/>
  <c r="AF4409" i="2"/>
  <c r="AK4409" i="2" s="1"/>
  <c r="AG4409" i="2"/>
  <c r="AH4409" i="2"/>
  <c r="AI4409" i="2"/>
  <c r="AJ4409" i="2"/>
  <c r="AF4410" i="2"/>
  <c r="AK4410" i="2" s="1"/>
  <c r="AL4410" i="2" s="1"/>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s="1"/>
  <c r="AL4414" i="2" s="1"/>
  <c r="AG4414" i="2"/>
  <c r="AH4414" i="2"/>
  <c r="AI4414" i="2"/>
  <c r="AJ4414" i="2"/>
  <c r="AF4415" i="2"/>
  <c r="AK4415" i="2" s="1"/>
  <c r="AG4415" i="2"/>
  <c r="AH4415" i="2"/>
  <c r="AL4415" i="2" s="1"/>
  <c r="AI4415" i="2"/>
  <c r="AJ4415" i="2"/>
  <c r="AF4416" i="2"/>
  <c r="AK4416" i="2" s="1"/>
  <c r="AL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H4420" i="2"/>
  <c r="AI4420" i="2"/>
  <c r="AJ4420" i="2"/>
  <c r="AF4421" i="2"/>
  <c r="AK4421" i="2"/>
  <c r="AG4421" i="2"/>
  <c r="AH4421" i="2"/>
  <c r="AI4421" i="2"/>
  <c r="AL4421" i="2" s="1"/>
  <c r="AJ4421" i="2"/>
  <c r="AF4422" i="2"/>
  <c r="AK4422" i="2"/>
  <c r="AG4422" i="2"/>
  <c r="AL4422" i="2" s="1"/>
  <c r="AH4422" i="2"/>
  <c r="AI4422" i="2"/>
  <c r="AJ4422" i="2"/>
  <c r="AF4423" i="2"/>
  <c r="AK4423" i="2" s="1"/>
  <c r="AG4423" i="2"/>
  <c r="AL4423" i="2" s="1"/>
  <c r="AH4423" i="2"/>
  <c r="AI4423" i="2"/>
  <c r="AJ4423" i="2"/>
  <c r="AF4424" i="2"/>
  <c r="AK4424" i="2"/>
  <c r="AG4424" i="2"/>
  <c r="AH4424" i="2"/>
  <c r="AI4424" i="2"/>
  <c r="AL4424" i="2" s="1"/>
  <c r="AJ4424" i="2"/>
  <c r="AF4425" i="2"/>
  <c r="AK4425" i="2" s="1"/>
  <c r="AL4425" i="2" s="1"/>
  <c r="AG4425" i="2"/>
  <c r="AH4425" i="2"/>
  <c r="AI4425" i="2"/>
  <c r="AJ4425" i="2"/>
  <c r="AF4426" i="2"/>
  <c r="AK4426" i="2" s="1"/>
  <c r="AL4426" i="2" s="1"/>
  <c r="AG4426" i="2"/>
  <c r="AH4426" i="2"/>
  <c r="AI4426" i="2"/>
  <c r="AJ4426" i="2"/>
  <c r="AF4427" i="2"/>
  <c r="AK4427" i="2" s="1"/>
  <c r="AL4427" i="2" s="1"/>
  <c r="AG4427" i="2"/>
  <c r="AH4427" i="2"/>
  <c r="AI4427" i="2"/>
  <c r="AJ4427" i="2"/>
  <c r="AF4428" i="2"/>
  <c r="AK4428" i="2"/>
  <c r="AG4428" i="2"/>
  <c r="AH4428" i="2"/>
  <c r="AI4428" i="2"/>
  <c r="AJ4428" i="2"/>
  <c r="AF4429" i="2"/>
  <c r="AK4429" i="2" s="1"/>
  <c r="AL4429" i="2" s="1"/>
  <c r="AG4429" i="2"/>
  <c r="AH4429" i="2"/>
  <c r="AI4429" i="2"/>
  <c r="AJ4429" i="2"/>
  <c r="AF4430" i="2"/>
  <c r="AK4430" i="2"/>
  <c r="AG4430" i="2"/>
  <c r="AH4430" i="2"/>
  <c r="AI4430" i="2"/>
  <c r="AJ4430" i="2"/>
  <c r="AF4431" i="2"/>
  <c r="AK4431" i="2" s="1"/>
  <c r="AG4431" i="2"/>
  <c r="AH4431" i="2"/>
  <c r="AI4431" i="2"/>
  <c r="AJ4431" i="2"/>
  <c r="AF4432" i="2"/>
  <c r="AK4432" i="2"/>
  <c r="AG4432" i="2"/>
  <c r="AH4432" i="2"/>
  <c r="AI4432" i="2"/>
  <c r="AL4432" i="2" s="1"/>
  <c r="AJ4432" i="2"/>
  <c r="AF4433" i="2"/>
  <c r="AK4433" i="2"/>
  <c r="AG4433" i="2"/>
  <c r="AH4433" i="2"/>
  <c r="AI4433" i="2"/>
  <c r="AJ4433" i="2"/>
  <c r="AF4434" i="2"/>
  <c r="AK4434" i="2" s="1"/>
  <c r="AL4434" i="2" s="1"/>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L4437" i="2" s="1"/>
  <c r="AF4438" i="2"/>
  <c r="AK4438" i="2"/>
  <c r="AG4438" i="2"/>
  <c r="AL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s="1"/>
  <c r="AL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c r="AG4449" i="2"/>
  <c r="AH4449" i="2"/>
  <c r="AI4449" i="2"/>
  <c r="AJ4449" i="2"/>
  <c r="AF4450" i="2"/>
  <c r="AK4450" i="2" s="1"/>
  <c r="AG4450" i="2"/>
  <c r="AL4450" i="2" s="1"/>
  <c r="AH4450" i="2"/>
  <c r="AI4450" i="2"/>
  <c r="AJ4450" i="2"/>
  <c r="AF4451" i="2"/>
  <c r="AK4451" i="2"/>
  <c r="AG4451" i="2"/>
  <c r="AH4451" i="2"/>
  <c r="AL4451" i="2" s="1"/>
  <c r="AI4451" i="2"/>
  <c r="AJ4451" i="2"/>
  <c r="AF4452" i="2"/>
  <c r="AK4452" i="2" s="1"/>
  <c r="AL4452" i="2" s="1"/>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s="1"/>
  <c r="AL4456" i="2" s="1"/>
  <c r="AG4456" i="2"/>
  <c r="AH4456" i="2"/>
  <c r="AI4456" i="2"/>
  <c r="AJ4456" i="2"/>
  <c r="AF4457" i="2"/>
  <c r="AK4457" i="2" s="1"/>
  <c r="AG4457" i="2"/>
  <c r="AH4457" i="2"/>
  <c r="AL4457" i="2" s="1"/>
  <c r="AI4457" i="2"/>
  <c r="AJ4457" i="2"/>
  <c r="AF4458" i="2"/>
  <c r="AK4458" i="2" s="1"/>
  <c r="AL4458" i="2" s="1"/>
  <c r="AG4458" i="2"/>
  <c r="AH4458" i="2"/>
  <c r="AI4458" i="2"/>
  <c r="AJ4458" i="2"/>
  <c r="AF4459" i="2"/>
  <c r="AK4459" i="2"/>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L4462" i="2" s="1"/>
  <c r="AI4462" i="2"/>
  <c r="AJ4462" i="2"/>
  <c r="AF4463" i="2"/>
  <c r="AK4463" i="2" s="1"/>
  <c r="AG4463" i="2"/>
  <c r="AL4463" i="2" s="1"/>
  <c r="AH4463" i="2"/>
  <c r="AI4463" i="2"/>
  <c r="AJ4463" i="2"/>
  <c r="AF4464" i="2"/>
  <c r="AK4464" i="2" s="1"/>
  <c r="AG4464" i="2"/>
  <c r="AH4464" i="2"/>
  <c r="AL4464" i="2" s="1"/>
  <c r="AI4464" i="2"/>
  <c r="AJ4464" i="2"/>
  <c r="AF4465" i="2"/>
  <c r="AK4465" i="2"/>
  <c r="AG4465" i="2"/>
  <c r="AH4465" i="2"/>
  <c r="AI4465" i="2"/>
  <c r="AJ4465" i="2"/>
  <c r="AL4465" i="2" s="1"/>
  <c r="AF4466" i="2"/>
  <c r="AK4466" i="2"/>
  <c r="AG4466" i="2"/>
  <c r="AH4466" i="2"/>
  <c r="AI4466" i="2"/>
  <c r="AJ4466" i="2"/>
  <c r="AF4467" i="2"/>
  <c r="AK4467" i="2" s="1"/>
  <c r="AG4467" i="2"/>
  <c r="AH4467" i="2"/>
  <c r="AL4467" i="2" s="1"/>
  <c r="AI4467" i="2"/>
  <c r="AJ4467" i="2"/>
  <c r="AF4468" i="2"/>
  <c r="AK4468" i="2"/>
  <c r="AG4468" i="2"/>
  <c r="AL4468" i="2" s="1"/>
  <c r="AH4468" i="2"/>
  <c r="AI4468" i="2"/>
  <c r="AJ4468" i="2"/>
  <c r="AF4469" i="2"/>
  <c r="AK4469" i="2"/>
  <c r="AG4469" i="2"/>
  <c r="AH4469" i="2"/>
  <c r="AI4469" i="2"/>
  <c r="AJ4469" i="2"/>
  <c r="AF4470" i="2"/>
  <c r="AK4470" i="2" s="1"/>
  <c r="AL4470" i="2" s="1"/>
  <c r="AG4470" i="2"/>
  <c r="AH4470" i="2"/>
  <c r="AI4470" i="2"/>
  <c r="AJ4470" i="2"/>
  <c r="AF4471" i="2"/>
  <c r="AK4471" i="2"/>
  <c r="AG4471" i="2"/>
  <c r="AL4471" i="2" s="1"/>
  <c r="AH4471" i="2"/>
  <c r="AI4471" i="2"/>
  <c r="AJ4471" i="2"/>
  <c r="AF4472" i="2"/>
  <c r="AK4472" i="2" s="1"/>
  <c r="AG4472" i="2"/>
  <c r="AH4472" i="2"/>
  <c r="AL4472" i="2"/>
  <c r="AI4472" i="2"/>
  <c r="AJ4472" i="2"/>
  <c r="AF4473" i="2"/>
  <c r="AK4473" i="2"/>
  <c r="AG4473" i="2"/>
  <c r="AH4473" i="2"/>
  <c r="AI4473" i="2"/>
  <c r="AJ4473" i="2"/>
  <c r="AF4474" i="2"/>
  <c r="AK4474" i="2"/>
  <c r="AG4474" i="2"/>
  <c r="AH4474" i="2"/>
  <c r="AI4474" i="2"/>
  <c r="AJ4474" i="2"/>
  <c r="AF4475" i="2"/>
  <c r="AK4475" i="2"/>
  <c r="AG4475" i="2"/>
  <c r="AH4475" i="2"/>
  <c r="AI4475" i="2"/>
  <c r="AL4475" i="2" s="1"/>
  <c r="AJ4475" i="2"/>
  <c r="AF4476" i="2"/>
  <c r="AK4476" i="2" s="1"/>
  <c r="AG4476" i="2"/>
  <c r="AL4476" i="2"/>
  <c r="AH4476" i="2"/>
  <c r="AI4476" i="2"/>
  <c r="AJ4476" i="2"/>
  <c r="AF4477" i="2"/>
  <c r="AK4477" i="2" s="1"/>
  <c r="AG4477" i="2"/>
  <c r="AH4477" i="2"/>
  <c r="AI4477" i="2"/>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L4482" i="2" s="1"/>
  <c r="AG4482" i="2"/>
  <c r="AH4482" i="2"/>
  <c r="AI4482" i="2"/>
  <c r="AJ4482" i="2"/>
  <c r="AF4483" i="2"/>
  <c r="AK4483" i="2"/>
  <c r="AG4483" i="2"/>
  <c r="AH4483" i="2"/>
  <c r="AI4483" i="2"/>
  <c r="AL4483" i="2" s="1"/>
  <c r="AJ4483" i="2"/>
  <c r="AF4484" i="2"/>
  <c r="AK4484" i="2" s="1"/>
  <c r="AG4484" i="2"/>
  <c r="AL4484" i="2" s="1"/>
  <c r="AH4484" i="2"/>
  <c r="AI4484" i="2"/>
  <c r="AJ4484" i="2"/>
  <c r="AF4485" i="2"/>
  <c r="AK4485" i="2" s="1"/>
  <c r="AL4485" i="2" s="1"/>
  <c r="AG4485" i="2"/>
  <c r="AH4485" i="2"/>
  <c r="AI4485" i="2"/>
  <c r="AJ4485" i="2"/>
  <c r="AF4486" i="2"/>
  <c r="AK4486" i="2"/>
  <c r="AG4486" i="2"/>
  <c r="AH4486" i="2"/>
  <c r="AI4486" i="2"/>
  <c r="AJ4486" i="2"/>
  <c r="AF4487" i="2"/>
  <c r="AK4487" i="2" s="1"/>
  <c r="AL4487" i="2" s="1"/>
  <c r="AG4487" i="2"/>
  <c r="AH4487" i="2"/>
  <c r="AI4487" i="2"/>
  <c r="AJ4487" i="2"/>
  <c r="AF4488" i="2"/>
  <c r="AK4488" i="2"/>
  <c r="AG4488" i="2"/>
  <c r="AH4488" i="2"/>
  <c r="AI4488" i="2"/>
  <c r="AL4488" i="2" s="1"/>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s="1"/>
  <c r="AL4493" i="2" s="1"/>
  <c r="AG4493" i="2"/>
  <c r="AH4493" i="2"/>
  <c r="AI4493" i="2"/>
  <c r="AJ4493" i="2"/>
  <c r="AF4494" i="2"/>
  <c r="AK4494" i="2"/>
  <c r="AG4494" i="2"/>
  <c r="AH4494" i="2"/>
  <c r="AI4494" i="2"/>
  <c r="AJ4494" i="2"/>
  <c r="AF4495" i="2"/>
  <c r="AK4495" i="2" s="1"/>
  <c r="AL4495" i="2" s="1"/>
  <c r="AG4495" i="2"/>
  <c r="AH4495" i="2"/>
  <c r="AI4495" i="2"/>
  <c r="AJ4495" i="2"/>
  <c r="AF4496" i="2"/>
  <c r="AK4496" i="2" s="1"/>
  <c r="AL4496" i="2" s="1"/>
  <c r="AG4496" i="2"/>
  <c r="AH4496" i="2"/>
  <c r="AI4496" i="2"/>
  <c r="AJ4496" i="2"/>
  <c r="AF4497" i="2"/>
  <c r="AK4497" i="2" s="1"/>
  <c r="AG4497" i="2"/>
  <c r="AL4497" i="2"/>
  <c r="AH4497" i="2"/>
  <c r="AI4497" i="2"/>
  <c r="AJ4497" i="2"/>
  <c r="AF4498" i="2"/>
  <c r="AK4498" i="2" s="1"/>
  <c r="AL4498" i="2" s="1"/>
  <c r="AG4498" i="2"/>
  <c r="AH4498" i="2"/>
  <c r="AI4498" i="2"/>
  <c r="AJ4498" i="2"/>
  <c r="AF4499" i="2"/>
  <c r="AK4499" i="2"/>
  <c r="AG4499" i="2"/>
  <c r="AH4499" i="2"/>
  <c r="AI4499" i="2"/>
  <c r="AJ4499" i="2"/>
  <c r="AL4499" i="2" s="1"/>
  <c r="AF4500" i="2"/>
  <c r="AK4500" i="2" s="1"/>
  <c r="AG4500" i="2"/>
  <c r="AH4500" i="2"/>
  <c r="AI4500" i="2"/>
  <c r="AJ4500" i="2"/>
  <c r="AF4501" i="2"/>
  <c r="AK4501" i="2" s="1"/>
  <c r="AL4501" i="2" s="1"/>
  <c r="AG4501" i="2"/>
  <c r="AH4501" i="2"/>
  <c r="AI4501" i="2"/>
  <c r="AJ4501" i="2"/>
  <c r="AF4502" i="2"/>
  <c r="AK4502" i="2" s="1"/>
  <c r="AG4502" i="2"/>
  <c r="AH4502" i="2"/>
  <c r="AI4502" i="2"/>
  <c r="AJ4502" i="2"/>
  <c r="AL4502" i="2" s="1"/>
  <c r="AF4503" i="2"/>
  <c r="AK4503" i="2" s="1"/>
  <c r="AL4503" i="2" s="1"/>
  <c r="AG4503" i="2"/>
  <c r="AH4503" i="2"/>
  <c r="AI4503" i="2"/>
  <c r="AJ4503" i="2"/>
  <c r="AF4504" i="2"/>
  <c r="AK4504" i="2"/>
  <c r="AG4504" i="2"/>
  <c r="AH4504" i="2"/>
  <c r="AI4504" i="2"/>
  <c r="AJ4504" i="2"/>
  <c r="AF4505" i="2"/>
  <c r="AK4505" i="2" s="1"/>
  <c r="AG4505" i="2"/>
  <c r="AH4505" i="2"/>
  <c r="AI4505" i="2"/>
  <c r="AJ4505" i="2"/>
  <c r="AF4506" i="2"/>
  <c r="AK4506" i="2" s="1"/>
  <c r="AL4506" i="2" s="1"/>
  <c r="AG4506" i="2"/>
  <c r="AH4506" i="2"/>
  <c r="AI4506" i="2"/>
  <c r="AJ4506" i="2"/>
  <c r="AF4507" i="2"/>
  <c r="AK4507" i="2" s="1"/>
  <c r="AG4507" i="2"/>
  <c r="AL4507" i="2"/>
  <c r="AH4507" i="2"/>
  <c r="AI4507" i="2"/>
  <c r="AJ4507" i="2"/>
  <c r="AF4508" i="2"/>
  <c r="AK4508" i="2" s="1"/>
  <c r="AG4508" i="2"/>
  <c r="AH4508" i="2"/>
  <c r="AI4508" i="2"/>
  <c r="AJ4508" i="2"/>
  <c r="AF4509" i="2"/>
  <c r="AK4509" i="2" s="1"/>
  <c r="AL4509" i="2" s="1"/>
  <c r="AG4509" i="2"/>
  <c r="AH4509" i="2"/>
  <c r="AI4509" i="2"/>
  <c r="AJ4509" i="2"/>
  <c r="AF4510" i="2"/>
  <c r="AK4510" i="2" s="1"/>
  <c r="AG4510" i="2"/>
  <c r="AL4510" i="2" s="1"/>
  <c r="AH4510" i="2"/>
  <c r="AI4510" i="2"/>
  <c r="AJ4510" i="2"/>
  <c r="AF4511" i="2"/>
  <c r="AK4511" i="2" s="1"/>
  <c r="AG4511" i="2"/>
  <c r="AH4511" i="2"/>
  <c r="AI4511" i="2"/>
  <c r="AJ4511" i="2"/>
  <c r="AF4512" i="2"/>
  <c r="AK4512" i="2" s="1"/>
  <c r="AL4512" i="2" s="1"/>
  <c r="AG4512" i="2"/>
  <c r="AH4512" i="2"/>
  <c r="AI4512" i="2"/>
  <c r="AJ4512" i="2"/>
  <c r="AF4513" i="2"/>
  <c r="AK4513" i="2" s="1"/>
  <c r="AG4513" i="2"/>
  <c r="AH4513" i="2"/>
  <c r="AI4513" i="2"/>
  <c r="AJ4513" i="2"/>
  <c r="AL4513" i="2" s="1"/>
  <c r="AF4514" i="2"/>
  <c r="AK4514" i="2" s="1"/>
  <c r="AG4514" i="2"/>
  <c r="AH4514" i="2"/>
  <c r="AL4514" i="2" s="1"/>
  <c r="AI4514" i="2"/>
  <c r="AJ4514" i="2"/>
  <c r="AF4515" i="2"/>
  <c r="AK4515" i="2" s="1"/>
  <c r="AL4515" i="2" s="1"/>
  <c r="AG4515" i="2"/>
  <c r="AH4515" i="2"/>
  <c r="AI4515" i="2"/>
  <c r="AJ4515" i="2"/>
  <c r="AF4516" i="2"/>
  <c r="AK4516" i="2" s="1"/>
  <c r="AG4516" i="2"/>
  <c r="AH4516" i="2"/>
  <c r="AI4516" i="2"/>
  <c r="AJ4516" i="2"/>
  <c r="AF4517" i="2"/>
  <c r="AK4517" i="2"/>
  <c r="AG4517" i="2"/>
  <c r="AH4517" i="2"/>
  <c r="AI4517" i="2"/>
  <c r="AL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s="1"/>
  <c r="AG4523" i="2"/>
  <c r="AH4523" i="2"/>
  <c r="AI4523" i="2"/>
  <c r="AL4523" i="2" s="1"/>
  <c r="AJ4523" i="2"/>
  <c r="AF4524" i="2"/>
  <c r="AK4524" i="2"/>
  <c r="AG4524" i="2"/>
  <c r="AH4524" i="2"/>
  <c r="AI4524" i="2"/>
  <c r="AL4524" i="2"/>
  <c r="AJ4524" i="2"/>
  <c r="AF4525" i="2"/>
  <c r="AK4525" i="2" s="1"/>
  <c r="AL4525" i="2" s="1"/>
  <c r="AG4525" i="2"/>
  <c r="AH4525" i="2"/>
  <c r="AI4525" i="2"/>
  <c r="AJ4525" i="2"/>
  <c r="AF4526" i="2"/>
  <c r="AK4526" i="2" s="1"/>
  <c r="AG4526" i="2"/>
  <c r="AH4526" i="2"/>
  <c r="AI4526" i="2"/>
  <c r="AJ4526" i="2"/>
  <c r="AF4527" i="2"/>
  <c r="AK4527" i="2" s="1"/>
  <c r="AG4527" i="2"/>
  <c r="AH4527" i="2"/>
  <c r="AI4527" i="2"/>
  <c r="AL4527" i="2" s="1"/>
  <c r="AJ4527" i="2"/>
  <c r="AF4528" i="2"/>
  <c r="AK4528" i="2"/>
  <c r="AG4528" i="2"/>
  <c r="AH4528" i="2"/>
  <c r="AI4528" i="2"/>
  <c r="AJ4528" i="2"/>
  <c r="AF4529" i="2"/>
  <c r="AK4529" i="2" s="1"/>
  <c r="AL4529" i="2" s="1"/>
  <c r="AG4529" i="2"/>
  <c r="AH4529" i="2"/>
  <c r="AI4529" i="2"/>
  <c r="AJ4529" i="2"/>
  <c r="AF4530" i="2"/>
  <c r="AK4530" i="2"/>
  <c r="AG4530" i="2"/>
  <c r="AH4530" i="2"/>
  <c r="AI4530" i="2"/>
  <c r="AJ4530" i="2"/>
  <c r="AL4530" i="2" s="1"/>
  <c r="AF4531" i="2"/>
  <c r="AK4531" i="2" s="1"/>
  <c r="AG4531" i="2"/>
  <c r="AH4531" i="2"/>
  <c r="AI4531" i="2"/>
  <c r="AJ4531" i="2"/>
  <c r="AL4531" i="2"/>
  <c r="AF4532" i="2"/>
  <c r="AK4532" i="2" s="1"/>
  <c r="AG4532" i="2"/>
  <c r="AH4532" i="2"/>
  <c r="AL4532" i="2" s="1"/>
  <c r="AI4532" i="2"/>
  <c r="AJ4532" i="2"/>
  <c r="AF4533" i="2"/>
  <c r="AK4533" i="2" s="1"/>
  <c r="AL4533" i="2" s="1"/>
  <c r="AG4533" i="2"/>
  <c r="AH4533" i="2"/>
  <c r="AI4533" i="2"/>
  <c r="AJ4533" i="2"/>
  <c r="AF4534" i="2"/>
  <c r="AK4534" i="2" s="1"/>
  <c r="AG4534" i="2"/>
  <c r="AL4534" i="2"/>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J4537" i="2"/>
  <c r="AF4538" i="2"/>
  <c r="AK4538" i="2"/>
  <c r="AG4538" i="2"/>
  <c r="AH4538" i="2"/>
  <c r="AI4538" i="2"/>
  <c r="AL4538" i="2" s="1"/>
  <c r="AJ4538" i="2"/>
  <c r="AF4539" i="2"/>
  <c r="AK4539" i="2" s="1"/>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s="1"/>
  <c r="AG4546" i="2"/>
  <c r="AH4546" i="2"/>
  <c r="AL4546" i="2" s="1"/>
  <c r="AI4546" i="2"/>
  <c r="AJ4546" i="2"/>
  <c r="AF4547" i="2"/>
  <c r="AK4547" i="2"/>
  <c r="AG4547" i="2"/>
  <c r="AH4547" i="2"/>
  <c r="AL4547" i="2" s="1"/>
  <c r="AI4547" i="2"/>
  <c r="AJ4547" i="2"/>
  <c r="AF4548" i="2"/>
  <c r="AK4548" i="2" s="1"/>
  <c r="AL4548" i="2" s="1"/>
  <c r="AG4548" i="2"/>
  <c r="AH4548" i="2"/>
  <c r="AI4548" i="2"/>
  <c r="AJ4548" i="2"/>
  <c r="AF4549" i="2"/>
  <c r="AK4549" i="2" s="1"/>
  <c r="AG4549" i="2"/>
  <c r="AH4549" i="2"/>
  <c r="AI4549" i="2"/>
  <c r="AJ4549" i="2"/>
  <c r="AF4550" i="2"/>
  <c r="AK4550" i="2" s="1"/>
  <c r="AL4550" i="2" s="1"/>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s="1"/>
  <c r="AL4556" i="2" s="1"/>
  <c r="AG4556" i="2"/>
  <c r="AH4556" i="2"/>
  <c r="AI4556" i="2"/>
  <c r="AJ4556" i="2"/>
  <c r="AF4557" i="2"/>
  <c r="AK4557" i="2" s="1"/>
  <c r="AG4557" i="2"/>
  <c r="AL4557" i="2" s="1"/>
  <c r="AH4557" i="2"/>
  <c r="AI4557" i="2"/>
  <c r="AJ4557" i="2"/>
  <c r="AF4558" i="2"/>
  <c r="AK4558" i="2" s="1"/>
  <c r="AL4558" i="2" s="1"/>
  <c r="AG4558" i="2"/>
  <c r="AH4558" i="2"/>
  <c r="AI4558" i="2"/>
  <c r="AJ4558" i="2"/>
  <c r="AF4559" i="2"/>
  <c r="AK4559" i="2"/>
  <c r="AG4559" i="2"/>
  <c r="AH4559" i="2"/>
  <c r="AI4559" i="2"/>
  <c r="AL4559" i="2" s="1"/>
  <c r="AJ4559" i="2"/>
  <c r="AF4560" i="2"/>
  <c r="AK4560" i="2" s="1"/>
  <c r="AG4560" i="2"/>
  <c r="AH4560" i="2"/>
  <c r="AI4560" i="2"/>
  <c r="AJ4560" i="2"/>
  <c r="AL4560" i="2" s="1"/>
  <c r="AF4561" i="2"/>
  <c r="AK4561" i="2" s="1"/>
  <c r="AL4561" i="2" s="1"/>
  <c r="AG4561" i="2"/>
  <c r="AH4561" i="2"/>
  <c r="AI4561" i="2"/>
  <c r="AJ4561" i="2"/>
  <c r="AF4562" i="2"/>
  <c r="AK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s="1"/>
  <c r="AG4566" i="2"/>
  <c r="AH4566" i="2"/>
  <c r="AI4566" i="2"/>
  <c r="AJ4566" i="2"/>
  <c r="AF4567" i="2"/>
  <c r="AK4567" i="2" s="1"/>
  <c r="AG4567" i="2"/>
  <c r="AH4567" i="2"/>
  <c r="AI4567" i="2"/>
  <c r="AJ4567" i="2"/>
  <c r="AF4568" i="2"/>
  <c r="AK4568" i="2"/>
  <c r="AG4568" i="2"/>
  <c r="AH4568" i="2"/>
  <c r="AI4568" i="2"/>
  <c r="AL4568" i="2" s="1"/>
  <c r="AJ4568" i="2"/>
  <c r="AF4569" i="2"/>
  <c r="AK4569" i="2" s="1"/>
  <c r="AG4569" i="2"/>
  <c r="AL4569" i="2" s="1"/>
  <c r="AH4569" i="2"/>
  <c r="AI4569" i="2"/>
  <c r="AJ4569" i="2"/>
  <c r="AF4570" i="2"/>
  <c r="AK4570" i="2" s="1"/>
  <c r="AL4570" i="2" s="1"/>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s="1"/>
  <c r="AL4575" i="2" s="1"/>
  <c r="AG4575" i="2"/>
  <c r="AH4575" i="2"/>
  <c r="AI4575" i="2"/>
  <c r="AJ4575" i="2"/>
  <c r="AF4576" i="2"/>
  <c r="AK4576" i="2" s="1"/>
  <c r="AG4576" i="2"/>
  <c r="AH4576" i="2"/>
  <c r="AI4576" i="2"/>
  <c r="AJ4576" i="2"/>
  <c r="AF4577" i="2"/>
  <c r="AK4577" i="2" s="1"/>
  <c r="AL4577" i="2" s="1"/>
  <c r="AG4577" i="2"/>
  <c r="AH4577" i="2"/>
  <c r="AI4577" i="2"/>
  <c r="AJ4577" i="2"/>
  <c r="AF4578" i="2"/>
  <c r="AK4578" i="2" s="1"/>
  <c r="AG4578" i="2"/>
  <c r="AH4578" i="2"/>
  <c r="AL4578" i="2" s="1"/>
  <c r="AI4578" i="2"/>
  <c r="AJ4578" i="2"/>
  <c r="AF4579" i="2"/>
  <c r="AK4579" i="2" s="1"/>
  <c r="AL4579" i="2" s="1"/>
  <c r="AG4579" i="2"/>
  <c r="AH4579" i="2"/>
  <c r="AI4579" i="2"/>
  <c r="AJ4579" i="2"/>
  <c r="AF4580" i="2"/>
  <c r="AK4580" i="2"/>
  <c r="AG4580" i="2"/>
  <c r="AH4580" i="2"/>
  <c r="AI4580" i="2"/>
  <c r="AJ4580" i="2"/>
  <c r="AF4581" i="2"/>
  <c r="AK4581" i="2" s="1"/>
  <c r="AL4581" i="2" s="1"/>
  <c r="AG4581" i="2"/>
  <c r="AH4581" i="2"/>
  <c r="AI4581" i="2"/>
  <c r="AJ4581" i="2"/>
  <c r="AF4582" i="2"/>
  <c r="AK4582" i="2"/>
  <c r="AG4582" i="2"/>
  <c r="AH4582" i="2"/>
  <c r="AI4582" i="2"/>
  <c r="AJ4582" i="2"/>
  <c r="AF4583" i="2"/>
  <c r="AK4583" i="2" s="1"/>
  <c r="AL4583" i="2" s="1"/>
  <c r="AG4583" i="2"/>
  <c r="AH4583" i="2"/>
  <c r="AI4583" i="2"/>
  <c r="AJ4583" i="2"/>
  <c r="AF4584" i="2"/>
  <c r="AK4584" i="2"/>
  <c r="AG4584" i="2"/>
  <c r="AL4584" i="2" s="1"/>
  <c r="AH4584" i="2"/>
  <c r="AI4584" i="2"/>
  <c r="AJ4584" i="2"/>
  <c r="AF4585" i="2"/>
  <c r="AK4585" i="2" s="1"/>
  <c r="AG4585" i="2"/>
  <c r="AL4585" i="2" s="1"/>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L4590" i="2" s="1"/>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L4594" i="2" s="1"/>
  <c r="AG4594" i="2"/>
  <c r="AH4594" i="2"/>
  <c r="AI4594" i="2"/>
  <c r="AJ4594" i="2"/>
  <c r="AF4595" i="2"/>
  <c r="AK4595" i="2" s="1"/>
  <c r="AG4595" i="2"/>
  <c r="AH4595" i="2"/>
  <c r="AI4595" i="2"/>
  <c r="AJ4595" i="2"/>
  <c r="AF4596" i="2"/>
  <c r="AK4596" i="2"/>
  <c r="AG4596" i="2"/>
  <c r="AH4596" i="2"/>
  <c r="AL4596" i="2" s="1"/>
  <c r="AI4596" i="2"/>
  <c r="AJ4596" i="2"/>
  <c r="AF4597" i="2"/>
  <c r="AK4597" i="2"/>
  <c r="AG4597" i="2"/>
  <c r="AH4597" i="2"/>
  <c r="AI4597" i="2"/>
  <c r="AJ4597" i="2"/>
  <c r="AF4598" i="2"/>
  <c r="AK4598" i="2" s="1"/>
  <c r="AG4598" i="2"/>
  <c r="AH4598" i="2"/>
  <c r="AI4598" i="2"/>
  <c r="AJ4598" i="2"/>
  <c r="AF4599" i="2"/>
  <c r="AK4599" i="2" s="1"/>
  <c r="AL4599" i="2" s="1"/>
  <c r="AG4599" i="2"/>
  <c r="AH4599" i="2"/>
  <c r="AI4599" i="2"/>
  <c r="AJ4599" i="2"/>
  <c r="AF4600" i="2"/>
  <c r="AK4600" i="2"/>
  <c r="AG4600" i="2"/>
  <c r="AH4600" i="2"/>
  <c r="AI4600" i="2"/>
  <c r="AL4600" i="2" s="1"/>
  <c r="AJ4600" i="2"/>
  <c r="AF4601" i="2"/>
  <c r="AK4601" i="2" s="1"/>
  <c r="AG4601" i="2"/>
  <c r="AH4601" i="2"/>
  <c r="AI4601" i="2"/>
  <c r="AJ4601" i="2"/>
  <c r="AF4602" i="2"/>
  <c r="AK4602" i="2"/>
  <c r="AG4602" i="2"/>
  <c r="AH4602" i="2"/>
  <c r="AI4602" i="2"/>
  <c r="AJ4602" i="2"/>
  <c r="AF4603" i="2"/>
  <c r="AK4603" i="2"/>
  <c r="AG4603" i="2"/>
  <c r="AL4603" i="2" s="1"/>
  <c r="AH4603" i="2"/>
  <c r="AI4603" i="2"/>
  <c r="AJ4603" i="2"/>
  <c r="AF4604" i="2"/>
  <c r="AK4604" i="2" s="1"/>
  <c r="AG4604" i="2"/>
  <c r="AH4604" i="2"/>
  <c r="AI4604" i="2"/>
  <c r="AJ4604" i="2"/>
  <c r="AF4605" i="2"/>
  <c r="AK4605" i="2"/>
  <c r="AG4605" i="2"/>
  <c r="AH4605" i="2"/>
  <c r="AI4605" i="2"/>
  <c r="AJ4605" i="2"/>
  <c r="AF4606" i="2"/>
  <c r="AK4606" i="2" s="1"/>
  <c r="AG4606" i="2"/>
  <c r="AL4606" i="2" s="1"/>
  <c r="AH4606" i="2"/>
  <c r="AI4606" i="2"/>
  <c r="AJ4606" i="2"/>
  <c r="AF4607" i="2"/>
  <c r="AK4607" i="2"/>
  <c r="AG4607" i="2"/>
  <c r="AL4607" i="2"/>
  <c r="AH4607" i="2"/>
  <c r="AI4607" i="2"/>
  <c r="AJ4607" i="2"/>
  <c r="AF4608" i="2"/>
  <c r="AK4608" i="2" s="1"/>
  <c r="AL4608" i="2" s="1"/>
  <c r="AG4608" i="2"/>
  <c r="AH4608" i="2"/>
  <c r="AI4608" i="2"/>
  <c r="AJ4608" i="2"/>
  <c r="AF4609" i="2"/>
  <c r="AK4609" i="2"/>
  <c r="AG4609" i="2"/>
  <c r="AH4609" i="2"/>
  <c r="AI4609" i="2"/>
  <c r="AJ4609" i="2"/>
  <c r="AF4610" i="2"/>
  <c r="AK4610" i="2"/>
  <c r="AG4610" i="2"/>
  <c r="AL4610" i="2"/>
  <c r="AH4610" i="2"/>
  <c r="AI4610" i="2"/>
  <c r="AJ4610" i="2"/>
  <c r="AF4611" i="2"/>
  <c r="AK4611" i="2" s="1"/>
  <c r="AL4611" i="2" s="1"/>
  <c r="AG4611" i="2"/>
  <c r="AH4611" i="2"/>
  <c r="AI4611" i="2"/>
  <c r="AJ4611" i="2"/>
  <c r="AF4612" i="2"/>
  <c r="AK4612" i="2" s="1"/>
  <c r="AG4612" i="2"/>
  <c r="AL4612" i="2"/>
  <c r="AH4612" i="2"/>
  <c r="AI4612" i="2"/>
  <c r="AJ4612" i="2"/>
  <c r="AF4613" i="2"/>
  <c r="AK4613" i="2" s="1"/>
  <c r="AG4613" i="2"/>
  <c r="AH4613" i="2"/>
  <c r="AI4613" i="2"/>
  <c r="AJ4613" i="2"/>
  <c r="AF4614" i="2"/>
  <c r="AK4614" i="2"/>
  <c r="AG4614" i="2"/>
  <c r="AH4614" i="2"/>
  <c r="AI4614" i="2"/>
  <c r="AJ4614" i="2"/>
  <c r="AF4615" i="2"/>
  <c r="AK4615" i="2" s="1"/>
  <c r="AL4615" i="2" s="1"/>
  <c r="AG4615" i="2"/>
  <c r="AH4615" i="2"/>
  <c r="AI4615" i="2"/>
  <c r="AJ4615" i="2"/>
  <c r="AF4616" i="2"/>
  <c r="AK4616" i="2"/>
  <c r="AG4616" i="2"/>
  <c r="AL4616" i="2" s="1"/>
  <c r="AH4616" i="2"/>
  <c r="AI4616" i="2"/>
  <c r="AJ4616" i="2"/>
  <c r="AF4617" i="2"/>
  <c r="AK4617" i="2"/>
  <c r="AG4617" i="2"/>
  <c r="AH4617" i="2"/>
  <c r="AI4617" i="2"/>
  <c r="AJ4617" i="2"/>
  <c r="AF4618" i="2"/>
  <c r="AK4618" i="2"/>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H4621" i="2"/>
  <c r="AL4621" i="2" s="1"/>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c r="AG4628" i="2"/>
  <c r="AH4628" i="2"/>
  <c r="AI4628" i="2"/>
  <c r="AJ4628" i="2"/>
  <c r="AL4628" i="2" s="1"/>
  <c r="AF4629" i="2"/>
  <c r="AK4629" i="2"/>
  <c r="AG4629" i="2"/>
  <c r="AH4629" i="2"/>
  <c r="AI4629" i="2"/>
  <c r="AJ4629" i="2"/>
  <c r="AF4630" i="2"/>
  <c r="AK4630" i="2"/>
  <c r="AG4630" i="2"/>
  <c r="AH4630" i="2"/>
  <c r="AL4630" i="2" s="1"/>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s="1"/>
  <c r="AL4635" i="2" s="1"/>
  <c r="AG4635" i="2"/>
  <c r="AH4635" i="2"/>
  <c r="AI4635" i="2"/>
  <c r="AJ4635" i="2"/>
  <c r="AF4636" i="2"/>
  <c r="AK4636" i="2"/>
  <c r="AG4636" i="2"/>
  <c r="AH4636" i="2"/>
  <c r="AI4636" i="2"/>
  <c r="AJ4636" i="2"/>
  <c r="AF4637" i="2"/>
  <c r="AK4637" i="2" s="1"/>
  <c r="AG4637" i="2"/>
  <c r="AH4637" i="2"/>
  <c r="AL4637" i="2" s="1"/>
  <c r="AI4637" i="2"/>
  <c r="AJ4637" i="2"/>
  <c r="AF4638" i="2"/>
  <c r="AK4638" i="2"/>
  <c r="AG4638" i="2"/>
  <c r="AH4638" i="2"/>
  <c r="AI4638" i="2"/>
  <c r="AJ4638" i="2"/>
  <c r="AF4639" i="2"/>
  <c r="AK4639" i="2"/>
  <c r="AG4639" i="2"/>
  <c r="AH4639" i="2"/>
  <c r="AL4639" i="2" s="1"/>
  <c r="AI4639" i="2"/>
  <c r="AJ4639" i="2"/>
  <c r="AF4640" i="2"/>
  <c r="AK4640" i="2" s="1"/>
  <c r="AG4640" i="2"/>
  <c r="AL4640" i="2" s="1"/>
  <c r="AH4640" i="2"/>
  <c r="AI4640" i="2"/>
  <c r="AJ4640" i="2"/>
  <c r="AF4641" i="2"/>
  <c r="AK4641" i="2"/>
  <c r="AG4641" i="2"/>
  <c r="AL4641" i="2" s="1"/>
  <c r="AH4641" i="2"/>
  <c r="AI4641" i="2"/>
  <c r="AJ4641" i="2"/>
  <c r="AF4642" i="2"/>
  <c r="AK4642" i="2"/>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s="1"/>
  <c r="AG4648" i="2"/>
  <c r="AH4648" i="2"/>
  <c r="AL4648" i="2" s="1"/>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c r="AG4653" i="2"/>
  <c r="AL4653" i="2"/>
  <c r="AH4653" i="2"/>
  <c r="AI4653" i="2"/>
  <c r="AJ4653" i="2"/>
  <c r="AF4654" i="2"/>
  <c r="AK4654" i="2" s="1"/>
  <c r="AL4654" i="2" s="1"/>
  <c r="AG4654" i="2"/>
  <c r="AH4654" i="2"/>
  <c r="AI4654" i="2"/>
  <c r="AJ4654" i="2"/>
  <c r="AF4655" i="2"/>
  <c r="AK4655" i="2"/>
  <c r="AG4655" i="2"/>
  <c r="AH4655" i="2"/>
  <c r="AI4655" i="2"/>
  <c r="AJ4655" i="2"/>
  <c r="AL4655" i="2" s="1"/>
  <c r="AF4656" i="2"/>
  <c r="AK4656" i="2"/>
  <c r="AG4656" i="2"/>
  <c r="AH4656" i="2"/>
  <c r="AI4656" i="2"/>
  <c r="AJ4656" i="2"/>
  <c r="AF4657" i="2"/>
  <c r="AK4657" i="2"/>
  <c r="AG4657" i="2"/>
  <c r="AH4657" i="2"/>
  <c r="AI4657" i="2"/>
  <c r="AL4657" i="2"/>
  <c r="AJ4657" i="2"/>
  <c r="AF4658" i="2"/>
  <c r="AK4658" i="2"/>
  <c r="AG4658" i="2"/>
  <c r="AH4658" i="2"/>
  <c r="AI4658" i="2"/>
  <c r="AJ4658" i="2"/>
  <c r="AF4659" i="2"/>
  <c r="AK4659" i="2" s="1"/>
  <c r="AL4659" i="2" s="1"/>
  <c r="AG4659" i="2"/>
  <c r="AH4659" i="2"/>
  <c r="AI4659" i="2"/>
  <c r="AJ4659" i="2"/>
  <c r="AF4660" i="2"/>
  <c r="AK4660" i="2"/>
  <c r="AG4660" i="2"/>
  <c r="AH4660" i="2"/>
  <c r="AI4660" i="2"/>
  <c r="AJ4660" i="2"/>
  <c r="AL4660" i="2" s="1"/>
  <c r="AF4661" i="2"/>
  <c r="AK4661" i="2"/>
  <c r="AG4661" i="2"/>
  <c r="AL4661" i="2" s="1"/>
  <c r="AH4661" i="2"/>
  <c r="AI4661" i="2"/>
  <c r="AJ4661" i="2"/>
  <c r="AF4662" i="2"/>
  <c r="AK4662" i="2" s="1"/>
  <c r="AG4662" i="2"/>
  <c r="AL4662" i="2" s="1"/>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L4666" i="2"/>
  <c r="AH4666" i="2"/>
  <c r="AI4666" i="2"/>
  <c r="AJ4666" i="2"/>
  <c r="AF4667" i="2"/>
  <c r="AK4667" i="2" s="1"/>
  <c r="AG4667" i="2"/>
  <c r="AL4667" i="2" s="1"/>
  <c r="AH4667" i="2"/>
  <c r="AI4667" i="2"/>
  <c r="AJ4667" i="2"/>
  <c r="AF4668" i="2"/>
  <c r="AK4668" i="2"/>
  <c r="AG4668" i="2"/>
  <c r="AH4668" i="2"/>
  <c r="AI4668" i="2"/>
  <c r="AJ4668" i="2"/>
  <c r="AF4669" i="2"/>
  <c r="AK4669" i="2"/>
  <c r="AG4669" i="2"/>
  <c r="AL4669" i="2"/>
  <c r="AH4669" i="2"/>
  <c r="AI4669" i="2"/>
  <c r="AJ4669" i="2"/>
  <c r="AF4670" i="2"/>
  <c r="AK4670" i="2" s="1"/>
  <c r="AL4670" i="2" s="1"/>
  <c r="AG4670" i="2"/>
  <c r="AH4670" i="2"/>
  <c r="AI4670" i="2"/>
  <c r="AJ4670" i="2"/>
  <c r="AF4671" i="2"/>
  <c r="AK4671" i="2"/>
  <c r="AG4671" i="2"/>
  <c r="AH4671" i="2"/>
  <c r="AI4671" i="2"/>
  <c r="AJ4671" i="2"/>
  <c r="AF4672" i="2"/>
  <c r="AK4672" i="2" s="1"/>
  <c r="AG4672" i="2"/>
  <c r="AH4672" i="2"/>
  <c r="AI4672" i="2"/>
  <c r="AJ4672" i="2"/>
  <c r="AF4673" i="2"/>
  <c r="AK4673" i="2"/>
  <c r="AG4673" i="2"/>
  <c r="AH4673" i="2"/>
  <c r="AI4673" i="2"/>
  <c r="AL4673" i="2"/>
  <c r="AJ4673" i="2"/>
  <c r="AF4674" i="2"/>
  <c r="AK4674" i="2"/>
  <c r="AG4674" i="2"/>
  <c r="AL4674" i="2" s="1"/>
  <c r="AH4674" i="2"/>
  <c r="AI4674" i="2"/>
  <c r="AJ4674" i="2"/>
  <c r="AF4675" i="2"/>
  <c r="AK4675" i="2"/>
  <c r="AG4675" i="2"/>
  <c r="AH4675" i="2"/>
  <c r="AI4675" i="2"/>
  <c r="AJ4675" i="2"/>
  <c r="AF4676" i="2"/>
  <c r="AK4676" i="2"/>
  <c r="AG4676" i="2"/>
  <c r="AH4676" i="2"/>
  <c r="AL4676" i="2" s="1"/>
  <c r="AI4676" i="2"/>
  <c r="AJ4676" i="2"/>
  <c r="AF4677" i="2"/>
  <c r="AK4677" i="2"/>
  <c r="AG4677" i="2"/>
  <c r="AH4677" i="2"/>
  <c r="AI4677" i="2"/>
  <c r="AJ4677" i="2"/>
  <c r="AF4678" i="2"/>
  <c r="AK4678" i="2" s="1"/>
  <c r="AL4678" i="2" s="1"/>
  <c r="AG4678" i="2"/>
  <c r="AH4678" i="2"/>
  <c r="AI4678" i="2"/>
  <c r="AJ4678" i="2"/>
  <c r="AF4679" i="2"/>
  <c r="AK4679" i="2"/>
  <c r="AG4679" i="2"/>
  <c r="AH4679" i="2"/>
  <c r="AI4679" i="2"/>
  <c r="AJ4679" i="2"/>
  <c r="AF4680" i="2"/>
  <c r="AK4680" i="2" s="1"/>
  <c r="AG4680" i="2"/>
  <c r="AH4680" i="2"/>
  <c r="AI4680" i="2"/>
  <c r="AJ4680" i="2"/>
  <c r="AF4681" i="2"/>
  <c r="AK4681" i="2"/>
  <c r="AG4681" i="2"/>
  <c r="AH4681" i="2"/>
  <c r="AI4681" i="2"/>
  <c r="AL4681" i="2" s="1"/>
  <c r="AJ4681" i="2"/>
  <c r="AF4682" i="2"/>
  <c r="AK4682" i="2"/>
  <c r="AG4682" i="2"/>
  <c r="AL4682" i="2" s="1"/>
  <c r="AH4682" i="2"/>
  <c r="AI4682" i="2"/>
  <c r="AJ4682" i="2"/>
  <c r="AF4683" i="2"/>
  <c r="AK4683" i="2"/>
  <c r="AG4683" i="2"/>
  <c r="AL4683" i="2"/>
  <c r="AH4683" i="2"/>
  <c r="AI4683" i="2"/>
  <c r="AJ4683" i="2"/>
  <c r="AF4684" i="2"/>
  <c r="AK4684" i="2" s="1"/>
  <c r="AL4684" i="2" s="1"/>
  <c r="AG4684" i="2"/>
  <c r="AH4684" i="2"/>
  <c r="AI4684" i="2"/>
  <c r="AJ4684" i="2"/>
  <c r="AF4685" i="2"/>
  <c r="AK4685" i="2"/>
  <c r="AG4685" i="2"/>
  <c r="AH4685" i="2"/>
  <c r="AI4685" i="2"/>
  <c r="AJ4685" i="2"/>
  <c r="AL4685" i="2" s="1"/>
  <c r="AF4686" i="2"/>
  <c r="AK4686" i="2"/>
  <c r="AG4686" i="2"/>
  <c r="AH4686" i="2"/>
  <c r="AI4686" i="2"/>
  <c r="AJ4686" i="2"/>
  <c r="AF4687" i="2"/>
  <c r="AK4687" i="2"/>
  <c r="AG4687" i="2"/>
  <c r="AH4687" i="2"/>
  <c r="AI4687" i="2"/>
  <c r="AL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c r="AG4691" i="2"/>
  <c r="AL4691" i="2" s="1"/>
  <c r="AH4691" i="2"/>
  <c r="AI4691" i="2"/>
  <c r="AJ4691" i="2"/>
  <c r="AF4692" i="2"/>
  <c r="AK4692" i="2" s="1"/>
  <c r="AG4692" i="2"/>
  <c r="AH4692" i="2"/>
  <c r="AL4692" i="2" s="1"/>
  <c r="AI4692" i="2"/>
  <c r="AJ4692" i="2"/>
  <c r="AF4693" i="2"/>
  <c r="AG4693" i="2"/>
  <c r="AL4693" i="2" s="1"/>
  <c r="AH4693" i="2"/>
  <c r="AI4693" i="2"/>
  <c r="AJ4693" i="2"/>
  <c r="AK4693" i="2"/>
  <c r="AF4694" i="2"/>
  <c r="AK4694" i="2"/>
  <c r="AG4694" i="2"/>
  <c r="AL4694" i="2" s="1"/>
  <c r="AH4694" i="2"/>
  <c r="AI4694" i="2"/>
  <c r="AJ4694" i="2"/>
  <c r="AF4695" i="2"/>
  <c r="AK4695" i="2"/>
  <c r="AG4695" i="2"/>
  <c r="AL4695" i="2" s="1"/>
  <c r="AH4695" i="2"/>
  <c r="AI4695" i="2"/>
  <c r="AJ4695" i="2"/>
  <c r="AF4696" i="2"/>
  <c r="AK4696" i="2" s="1"/>
  <c r="AG4696" i="2"/>
  <c r="AH4696" i="2"/>
  <c r="AL4696" i="2" s="1"/>
  <c r="AI4696" i="2"/>
  <c r="AJ4696" i="2"/>
  <c r="AF4697" i="2"/>
  <c r="AK4697" i="2"/>
  <c r="AG4697" i="2"/>
  <c r="AH4697" i="2"/>
  <c r="AI4697" i="2"/>
  <c r="AJ4697" i="2"/>
  <c r="AF4698" i="2"/>
  <c r="AK4698" i="2"/>
  <c r="AG4698" i="2"/>
  <c r="AH4698" i="2"/>
  <c r="AI4698" i="2"/>
  <c r="AJ4698" i="2"/>
  <c r="AF4699" i="2"/>
  <c r="AK4699" i="2"/>
  <c r="AG4699" i="2"/>
  <c r="AH4699" i="2"/>
  <c r="AI4699" i="2"/>
  <c r="AL4699" i="2" s="1"/>
  <c r="AJ4699" i="2"/>
  <c r="AF4700" i="2"/>
  <c r="AK4700" i="2"/>
  <c r="AG4700" i="2"/>
  <c r="AH4700" i="2"/>
  <c r="AI4700" i="2"/>
  <c r="AJ4700" i="2"/>
  <c r="AL4700" i="2" s="1"/>
  <c r="AF4701" i="2"/>
  <c r="AK4701" i="2"/>
  <c r="AG4701" i="2"/>
  <c r="AL4701" i="2" s="1"/>
  <c r="AH4701" i="2"/>
  <c r="AI4701" i="2"/>
  <c r="AJ4701" i="2"/>
  <c r="AF4702" i="2"/>
  <c r="AK4702" i="2" s="1"/>
  <c r="AG4702" i="2"/>
  <c r="AH4702" i="2"/>
  <c r="AI4702" i="2"/>
  <c r="AJ4702" i="2"/>
  <c r="AF4703" i="2"/>
  <c r="AK4703" i="2"/>
  <c r="AG4703" i="2"/>
  <c r="AH4703" i="2"/>
  <c r="AI4703" i="2"/>
  <c r="AL4703" i="2"/>
  <c r="AJ4703" i="2"/>
  <c r="AF4704" i="2"/>
  <c r="AK4704" i="2"/>
  <c r="AG4704" i="2"/>
  <c r="AH4704" i="2"/>
  <c r="AI4704" i="2"/>
  <c r="AJ4704" i="2"/>
  <c r="AF4705" i="2"/>
  <c r="AK4705" i="2" s="1"/>
  <c r="AG4705" i="2"/>
  <c r="AL4705" i="2" s="1"/>
  <c r="AH4705" i="2"/>
  <c r="AI4705" i="2"/>
  <c r="AJ4705" i="2"/>
  <c r="AF4706" i="2"/>
  <c r="AK4706" i="2"/>
  <c r="AG4706" i="2"/>
  <c r="AH4706" i="2"/>
  <c r="AI4706" i="2"/>
  <c r="AJ4706" i="2"/>
  <c r="AF4707" i="2"/>
  <c r="AK4707" i="2"/>
  <c r="AG4707" i="2"/>
  <c r="AL4707" i="2"/>
  <c r="AH4707" i="2"/>
  <c r="AI4707" i="2"/>
  <c r="AJ4707" i="2"/>
  <c r="AF4708" i="2"/>
  <c r="AK4708" i="2" s="1"/>
  <c r="AL4708" i="2" s="1"/>
  <c r="AG4708" i="2"/>
  <c r="AH4708" i="2"/>
  <c r="AI4708" i="2"/>
  <c r="AJ4708" i="2"/>
  <c r="AF4709" i="2"/>
  <c r="AK4709" i="2"/>
  <c r="AG4709" i="2"/>
  <c r="AH4709" i="2"/>
  <c r="AL4709" i="2" s="1"/>
  <c r="AI4709" i="2"/>
  <c r="AJ4709" i="2"/>
  <c r="AF4710" i="2"/>
  <c r="AK4710" i="2"/>
  <c r="AG4710" i="2"/>
  <c r="AL4710" i="2" s="1"/>
  <c r="AH4710" i="2"/>
  <c r="AI4710" i="2"/>
  <c r="AJ4710" i="2"/>
  <c r="AF4711" i="2"/>
  <c r="AG4711" i="2"/>
  <c r="AH4711" i="2"/>
  <c r="AI4711" i="2"/>
  <c r="AJ4711" i="2"/>
  <c r="AK4711" i="2"/>
  <c r="AF4712" i="2"/>
  <c r="AK4712" i="2"/>
  <c r="AG4712" i="2"/>
  <c r="AH4712" i="2"/>
  <c r="AL4712" i="2" s="1"/>
  <c r="AI4712" i="2"/>
  <c r="AJ4712" i="2"/>
  <c r="AF4713" i="2"/>
  <c r="AK4713" i="2"/>
  <c r="AG4713" i="2"/>
  <c r="AL4713" i="2" s="1"/>
  <c r="AH4713" i="2"/>
  <c r="AI4713" i="2"/>
  <c r="AJ4713" i="2"/>
  <c r="AF4714" i="2"/>
  <c r="AK4714" i="2"/>
  <c r="AG4714" i="2"/>
  <c r="AL4714" i="2" s="1"/>
  <c r="AH4714" i="2"/>
  <c r="AI4714" i="2"/>
  <c r="AJ4714" i="2"/>
  <c r="AF4715" i="2"/>
  <c r="AK4715" i="2" s="1"/>
  <c r="AG4715" i="2"/>
  <c r="AH4715" i="2"/>
  <c r="AL4715" i="2" s="1"/>
  <c r="AI4715" i="2"/>
  <c r="AJ4715" i="2"/>
  <c r="AF4716" i="2"/>
  <c r="AK4716" i="2"/>
  <c r="AG4716" i="2"/>
  <c r="AH4716" i="2"/>
  <c r="AI4716" i="2"/>
  <c r="AJ4716" i="2"/>
  <c r="AF4717" i="2"/>
  <c r="AK4717" i="2"/>
  <c r="AG4717" i="2"/>
  <c r="AL4717" i="2"/>
  <c r="AH4717" i="2"/>
  <c r="AI4717" i="2"/>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H4721" i="2"/>
  <c r="AI4721" i="2"/>
  <c r="AL4721" i="2" s="1"/>
  <c r="AJ4721" i="2"/>
  <c r="AF4722" i="2"/>
  <c r="AK4722" i="2"/>
  <c r="AG4722" i="2"/>
  <c r="AL4722" i="2" s="1"/>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J4726" i="2"/>
  <c r="AF4727" i="2"/>
  <c r="AK4727" i="2"/>
  <c r="AG4727" i="2"/>
  <c r="AH4727" i="2"/>
  <c r="AI4727" i="2"/>
  <c r="AL4727" i="2" s="1"/>
  <c r="AJ4727" i="2"/>
  <c r="AF4728" i="2"/>
  <c r="AK4728" i="2"/>
  <c r="AG4728" i="2"/>
  <c r="AH4728" i="2"/>
  <c r="AI4728" i="2"/>
  <c r="AJ4728" i="2"/>
  <c r="AL4728" i="2" s="1"/>
  <c r="AF4729" i="2"/>
  <c r="AK4729" i="2"/>
  <c r="AG4729" i="2"/>
  <c r="AL4729" i="2" s="1"/>
  <c r="AH4729" i="2"/>
  <c r="AI4729" i="2"/>
  <c r="AJ4729" i="2"/>
  <c r="AF4730" i="2"/>
  <c r="AK4730" i="2" s="1"/>
  <c r="AL4730" i="2" s="1"/>
  <c r="AG4730" i="2"/>
  <c r="AH4730" i="2"/>
  <c r="AI4730" i="2"/>
  <c r="AJ4730" i="2"/>
  <c r="AF4731" i="2"/>
  <c r="AK4731" i="2"/>
  <c r="AG4731" i="2"/>
  <c r="AH4731" i="2"/>
  <c r="AI4731" i="2"/>
  <c r="AJ4731" i="2"/>
  <c r="AL4731" i="2" s="1"/>
  <c r="AF4732" i="2"/>
  <c r="AK4732" i="2"/>
  <c r="AG4732" i="2"/>
  <c r="AL4732" i="2" s="1"/>
  <c r="AH4732" i="2"/>
  <c r="AI4732" i="2"/>
  <c r="AJ4732" i="2"/>
  <c r="AF4733" i="2"/>
  <c r="AK4733" i="2" s="1"/>
  <c r="AL4733" i="2" s="1"/>
  <c r="AG4733" i="2"/>
  <c r="AH4733" i="2"/>
  <c r="AI4733" i="2"/>
  <c r="AJ4733" i="2"/>
  <c r="AF4734" i="2"/>
  <c r="AK4734" i="2"/>
  <c r="AG4734" i="2"/>
  <c r="AH4734" i="2"/>
  <c r="AI4734" i="2"/>
  <c r="AJ4734" i="2"/>
  <c r="AF4735" i="2"/>
  <c r="AK4735" i="2" s="1"/>
  <c r="AG4735" i="2"/>
  <c r="AH4735" i="2"/>
  <c r="AL4735" i="2" s="1"/>
  <c r="AI4735" i="2"/>
  <c r="AJ4735" i="2"/>
  <c r="AF4736" i="2"/>
  <c r="AK4736" i="2"/>
  <c r="AG4736" i="2"/>
  <c r="AH4736" i="2"/>
  <c r="AI4736" i="2"/>
  <c r="AJ4736" i="2"/>
  <c r="AF4737" i="2"/>
  <c r="AK4737" i="2"/>
  <c r="AG4737" i="2"/>
  <c r="AL4737" i="2"/>
  <c r="AH4737" i="2"/>
  <c r="AI4737" i="2"/>
  <c r="AJ4737" i="2"/>
  <c r="AF4738" i="2"/>
  <c r="AK4738" i="2" s="1"/>
  <c r="AL4738" i="2" s="1"/>
  <c r="AG4738" i="2"/>
  <c r="AH4738" i="2"/>
  <c r="AI4738" i="2"/>
  <c r="AJ4738" i="2"/>
  <c r="AF4739" i="2"/>
  <c r="AK4739" i="2"/>
  <c r="AG4739" i="2"/>
  <c r="AL4739" i="2" s="1"/>
  <c r="AH4739" i="2"/>
  <c r="AI4739" i="2"/>
  <c r="AJ4739" i="2"/>
  <c r="AF4740" i="2"/>
  <c r="AK4740" i="2"/>
  <c r="AG4740" i="2"/>
  <c r="AL4740" i="2"/>
  <c r="AH4740" i="2"/>
  <c r="AI4740" i="2"/>
  <c r="AJ4740" i="2"/>
  <c r="AF4741" i="2"/>
  <c r="AK4741" i="2" s="1"/>
  <c r="AG4741" i="2"/>
  <c r="AH4741" i="2"/>
  <c r="AL4741" i="2" s="1"/>
  <c r="AI4741" i="2"/>
  <c r="AJ4741" i="2"/>
  <c r="AF4742" i="2"/>
  <c r="AK4742" i="2"/>
  <c r="AG4742" i="2"/>
  <c r="AH4742" i="2"/>
  <c r="AL4742" i="2" s="1"/>
  <c r="AI4742" i="2"/>
  <c r="AJ4742" i="2"/>
  <c r="AF4743" i="2"/>
  <c r="AK4743" i="2"/>
  <c r="AG4743" i="2"/>
  <c r="AH4743" i="2"/>
  <c r="AI4743" i="2"/>
  <c r="AJ4743" i="2"/>
  <c r="AL4743" i="2"/>
  <c r="AF4744" i="2"/>
  <c r="AK4744" i="2"/>
  <c r="AG4744" i="2"/>
  <c r="AL4744" i="2" s="1"/>
  <c r="AH4744" i="2"/>
  <c r="AI4744" i="2"/>
  <c r="AJ4744" i="2"/>
  <c r="AF4745" i="2"/>
  <c r="AK4745" i="2" s="1"/>
  <c r="AG4745" i="2"/>
  <c r="AL4745" i="2" s="1"/>
  <c r="AH4745" i="2"/>
  <c r="AI4745" i="2"/>
  <c r="AJ4745" i="2"/>
  <c r="AF4746" i="2"/>
  <c r="AK4746" i="2"/>
  <c r="AG4746" i="2"/>
  <c r="AL4746" i="2" s="1"/>
  <c r="AH4746" i="2"/>
  <c r="AI4746" i="2"/>
  <c r="AJ4746" i="2"/>
  <c r="AF4747" i="2"/>
  <c r="AK4747" i="2"/>
  <c r="AG4747" i="2"/>
  <c r="AH4747" i="2"/>
  <c r="AI4747" i="2"/>
  <c r="AJ4747" i="2"/>
  <c r="AL4747" i="2" s="1"/>
  <c r="AF4748" i="2"/>
  <c r="AK4748" i="2"/>
  <c r="AG4748" i="2"/>
  <c r="AH4748" i="2"/>
  <c r="AI4748" i="2"/>
  <c r="AJ4748" i="2"/>
  <c r="AF4749" i="2"/>
  <c r="AK4749" i="2"/>
  <c r="AG4749" i="2"/>
  <c r="AH4749" i="2"/>
  <c r="AL4749" i="2" s="1"/>
  <c r="AI4749" i="2"/>
  <c r="AJ4749" i="2"/>
  <c r="AF4750" i="2"/>
  <c r="AK4750" i="2"/>
  <c r="AG4750" i="2"/>
  <c r="AH4750" i="2"/>
  <c r="AI4750" i="2"/>
  <c r="AJ4750" i="2"/>
  <c r="AF4751" i="2"/>
  <c r="AK4751" i="2" s="1"/>
  <c r="AL4751" i="2" s="1"/>
  <c r="AG4751" i="2"/>
  <c r="AH4751" i="2"/>
  <c r="AI4751" i="2"/>
  <c r="AJ4751" i="2"/>
  <c r="AF4752" i="2"/>
  <c r="AK4752" i="2"/>
  <c r="AG4752" i="2"/>
  <c r="AH4752" i="2"/>
  <c r="AI4752" i="2"/>
  <c r="AJ4752" i="2"/>
  <c r="AF4753" i="2"/>
  <c r="AK4753" i="2" s="1"/>
  <c r="AG4753" i="2"/>
  <c r="AH4753" i="2"/>
  <c r="AI4753" i="2"/>
  <c r="AJ4753" i="2"/>
  <c r="AF4754" i="2"/>
  <c r="AK4754" i="2"/>
  <c r="AG4754" i="2"/>
  <c r="AH4754" i="2"/>
  <c r="AL4754" i="2" s="1"/>
  <c r="AI4754" i="2"/>
  <c r="AJ4754" i="2"/>
  <c r="AF4755" i="2"/>
  <c r="AK4755" i="2"/>
  <c r="AG4755" i="2"/>
  <c r="AL4755" i="2" s="1"/>
  <c r="AH4755" i="2"/>
  <c r="AI4755" i="2"/>
  <c r="AJ4755" i="2"/>
  <c r="AF4756" i="2"/>
  <c r="AK4756" i="2"/>
  <c r="AG4756" i="2"/>
  <c r="AH4756" i="2"/>
  <c r="AI4756" i="2"/>
  <c r="AJ4756" i="2"/>
  <c r="AF4757" i="2"/>
  <c r="AK4757" i="2"/>
  <c r="AG4757" i="2"/>
  <c r="AL4757" i="2" s="1"/>
  <c r="AH4757" i="2"/>
  <c r="AI4757" i="2"/>
  <c r="AJ4757" i="2"/>
  <c r="AF4758" i="2"/>
  <c r="AK4758" i="2"/>
  <c r="AG4758" i="2"/>
  <c r="AH4758" i="2"/>
  <c r="AI4758" i="2"/>
  <c r="AJ4758" i="2"/>
  <c r="AF4759" i="2"/>
  <c r="AK4759" i="2" s="1"/>
  <c r="AL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H4762" i="2"/>
  <c r="AL4762" i="2" s="1"/>
  <c r="AI4762" i="2"/>
  <c r="AJ4762" i="2"/>
  <c r="AF4763" i="2"/>
  <c r="AK4763" i="2"/>
  <c r="AG4763" i="2"/>
  <c r="AL4763" i="2" s="1"/>
  <c r="AH4763" i="2"/>
  <c r="AI4763" i="2"/>
  <c r="AJ4763" i="2"/>
  <c r="AF4764" i="2"/>
  <c r="AK4764" i="2"/>
  <c r="AG4764" i="2"/>
  <c r="AL4764" i="2" s="1"/>
  <c r="AH4764" i="2"/>
  <c r="AI4764" i="2"/>
  <c r="AJ4764" i="2"/>
  <c r="AF4765" i="2"/>
  <c r="AK4765" i="2"/>
  <c r="AG4765" i="2"/>
  <c r="AL4765" i="2"/>
  <c r="AH4765" i="2"/>
  <c r="AI4765" i="2"/>
  <c r="AJ4765" i="2"/>
  <c r="AF4766" i="2"/>
  <c r="AK4766" i="2" s="1"/>
  <c r="AL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L4769" i="2" s="1"/>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L4774" i="2" s="1"/>
  <c r="AG4774" i="2"/>
  <c r="AH4774" i="2"/>
  <c r="AI4774" i="2"/>
  <c r="AJ4774" i="2"/>
  <c r="AF4775" i="2"/>
  <c r="AK4775" i="2"/>
  <c r="AG4775" i="2"/>
  <c r="AL4775" i="2" s="1"/>
  <c r="AH4775" i="2"/>
  <c r="AI4775" i="2"/>
  <c r="AJ4775" i="2"/>
  <c r="AF4776" i="2"/>
  <c r="AK4776" i="2"/>
  <c r="AG4776" i="2"/>
  <c r="AH4776" i="2"/>
  <c r="AI4776" i="2"/>
  <c r="AJ4776" i="2"/>
  <c r="AL4776" i="2" s="1"/>
  <c r="AF4777" i="2"/>
  <c r="AK4777" i="2"/>
  <c r="AG4777" i="2"/>
  <c r="AL4777" i="2" s="1"/>
  <c r="AH4777" i="2"/>
  <c r="AI4777" i="2"/>
  <c r="AJ4777" i="2"/>
  <c r="AF4778" i="2"/>
  <c r="AK4778" i="2" s="1"/>
  <c r="AL4778" i="2" s="1"/>
  <c r="AG4778" i="2"/>
  <c r="AH4778" i="2"/>
  <c r="AI4778" i="2"/>
  <c r="AJ4778" i="2"/>
  <c r="AF4779" i="2"/>
  <c r="AK4779" i="2"/>
  <c r="AG4779" i="2"/>
  <c r="AH4779" i="2"/>
  <c r="AI4779" i="2"/>
  <c r="AJ4779" i="2"/>
  <c r="AF4780" i="2"/>
  <c r="AK4780" i="2" s="1"/>
  <c r="AL4780" i="2" s="1"/>
  <c r="AG4780" i="2"/>
  <c r="AH4780" i="2"/>
  <c r="AI4780" i="2"/>
  <c r="AJ4780" i="2"/>
  <c r="AF4781" i="2"/>
  <c r="AK4781" i="2"/>
  <c r="AG4781" i="2"/>
  <c r="AL4781" i="2" s="1"/>
  <c r="AH4781" i="2"/>
  <c r="AI4781" i="2"/>
  <c r="AJ4781" i="2"/>
  <c r="AF4782" i="2"/>
  <c r="AK4782" i="2"/>
  <c r="AG4782" i="2"/>
  <c r="AL4782" i="2" s="1"/>
  <c r="AH4782" i="2"/>
  <c r="AI4782" i="2"/>
  <c r="AJ4782" i="2"/>
  <c r="AF4783" i="2"/>
  <c r="AK4783" i="2" s="1"/>
  <c r="AG4783" i="2"/>
  <c r="AH4783" i="2"/>
  <c r="AL4783" i="2" s="1"/>
  <c r="AI4783" i="2"/>
  <c r="AJ4783" i="2"/>
  <c r="AF4784" i="2"/>
  <c r="AK4784" i="2"/>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I4787" i="2"/>
  <c r="AJ4787" i="2"/>
  <c r="AL4787" i="2" s="1"/>
  <c r="AF4788" i="2"/>
  <c r="AK4788" i="2"/>
  <c r="AG4788" i="2"/>
  <c r="AL4788" i="2" s="1"/>
  <c r="AH4788" i="2"/>
  <c r="AI4788" i="2"/>
  <c r="AJ4788" i="2"/>
  <c r="AF4789" i="2"/>
  <c r="AK4789" i="2" s="1"/>
  <c r="AL4789" i="2" s="1"/>
  <c r="AG4789" i="2"/>
  <c r="AH4789" i="2"/>
  <c r="AI4789" i="2"/>
  <c r="AJ4789" i="2"/>
  <c r="AF4790" i="2"/>
  <c r="AK4790" i="2"/>
  <c r="AG4790" i="2"/>
  <c r="AL4790" i="2" s="1"/>
  <c r="AH4790" i="2"/>
  <c r="AI4790" i="2"/>
  <c r="AJ4790" i="2"/>
  <c r="AF4791" i="2"/>
  <c r="AK4791" i="2"/>
  <c r="AG4791" i="2"/>
  <c r="AL4791" i="2"/>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s="1"/>
  <c r="AG4795" i="2"/>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c r="AG4810" i="2"/>
  <c r="AL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J4815" i="2"/>
  <c r="AL4815" i="2" s="1"/>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L4820" i="2"/>
  <c r="AH4820" i="2"/>
  <c r="AI4820" i="2"/>
  <c r="AJ4820" i="2"/>
  <c r="AF4821" i="2"/>
  <c r="AK4821" i="2" s="1"/>
  <c r="AL4821" i="2" s="1"/>
  <c r="AG4821" i="2"/>
  <c r="AH4821" i="2"/>
  <c r="AI4821" i="2"/>
  <c r="AJ4821" i="2"/>
  <c r="AF4822" i="2"/>
  <c r="AK4822" i="2"/>
  <c r="AG4822" i="2"/>
  <c r="AL4822" i="2" s="1"/>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H4826" i="2"/>
  <c r="AI4826" i="2"/>
  <c r="AJ4826" i="2"/>
  <c r="AF4827" i="2"/>
  <c r="AK4827" i="2"/>
  <c r="AG4827" i="2"/>
  <c r="AH4827" i="2"/>
  <c r="AI4827" i="2"/>
  <c r="AL4827" i="2"/>
  <c r="AJ4827" i="2"/>
  <c r="AF4828" i="2"/>
  <c r="AK4828" i="2"/>
  <c r="AG4828" i="2"/>
  <c r="AL4828" i="2" s="1"/>
  <c r="AH4828" i="2"/>
  <c r="AI4828" i="2"/>
  <c r="AJ4828" i="2"/>
  <c r="AF4829" i="2"/>
  <c r="AK4829" i="2"/>
  <c r="AG4829" i="2"/>
  <c r="AH4829" i="2"/>
  <c r="AI4829" i="2"/>
  <c r="AJ4829" i="2"/>
  <c r="AF4830" i="2"/>
  <c r="AK4830" i="2"/>
  <c r="AG4830" i="2"/>
  <c r="AH4830" i="2"/>
  <c r="AL4830" i="2" s="1"/>
  <c r="AI4830" i="2"/>
  <c r="AJ4830" i="2"/>
  <c r="AF4831" i="2"/>
  <c r="AK4831" i="2"/>
  <c r="AG4831" i="2"/>
  <c r="AL4831" i="2" s="1"/>
  <c r="AH4831" i="2"/>
  <c r="AI4831" i="2"/>
  <c r="AJ4831" i="2"/>
  <c r="AF4832" i="2"/>
  <c r="AK4832" i="2"/>
  <c r="AG4832" i="2"/>
  <c r="AL4832" i="2"/>
  <c r="AH4832" i="2"/>
  <c r="AI4832" i="2"/>
  <c r="AJ4832" i="2"/>
  <c r="AF4833" i="2"/>
  <c r="AK4833" i="2" s="1"/>
  <c r="AG4833" i="2"/>
  <c r="AH4833" i="2"/>
  <c r="AI4833" i="2"/>
  <c r="AJ4833" i="2"/>
  <c r="AF4834" i="2"/>
  <c r="AK4834" i="2"/>
  <c r="AG4834" i="2"/>
  <c r="AL4834" i="2" s="1"/>
  <c r="AH4834" i="2"/>
  <c r="AI4834" i="2"/>
  <c r="AJ4834" i="2"/>
  <c r="AF4835" i="2"/>
  <c r="AK4835" i="2"/>
  <c r="AG4835" i="2"/>
  <c r="AH4835" i="2"/>
  <c r="AI4835" i="2"/>
  <c r="AJ4835" i="2"/>
  <c r="AF4836" i="2"/>
  <c r="AK4836" i="2" s="1"/>
  <c r="AL4836" i="2" s="1"/>
  <c r="AG4836" i="2"/>
  <c r="AH4836" i="2"/>
  <c r="AI4836" i="2"/>
  <c r="AJ4836" i="2"/>
  <c r="AF4837" i="2"/>
  <c r="AK4837" i="2"/>
  <c r="AG4837" i="2"/>
  <c r="AH4837" i="2"/>
  <c r="AI4837" i="2"/>
  <c r="AJ4837" i="2"/>
  <c r="AF4838" i="2"/>
  <c r="AK4838" i="2" s="1"/>
  <c r="AG4838" i="2"/>
  <c r="AH4838" i="2"/>
  <c r="AI4838" i="2"/>
  <c r="AJ4838" i="2"/>
  <c r="AF4839" i="2"/>
  <c r="AK4839" i="2"/>
  <c r="AG4839" i="2"/>
  <c r="AH4839" i="2"/>
  <c r="AI4839" i="2"/>
  <c r="AL4839" i="2" s="1"/>
  <c r="AJ4839" i="2"/>
  <c r="AF4840" i="2"/>
  <c r="AK4840" i="2"/>
  <c r="AG4840" i="2"/>
  <c r="AH4840" i="2"/>
  <c r="AI4840" i="2"/>
  <c r="AJ4840" i="2"/>
  <c r="AF4841" i="2"/>
  <c r="AK4841" i="2" s="1"/>
  <c r="AL4841" i="2" s="1"/>
  <c r="AG4841" i="2"/>
  <c r="AH4841" i="2"/>
  <c r="AI4841" i="2"/>
  <c r="AJ4841" i="2"/>
  <c r="AF4842" i="2"/>
  <c r="AK4842" i="2"/>
  <c r="AG4842" i="2"/>
  <c r="AH4842" i="2"/>
  <c r="AI4842" i="2"/>
  <c r="AL4842" i="2"/>
  <c r="AJ4842" i="2"/>
  <c r="AF4843" i="2"/>
  <c r="AK4843" i="2"/>
  <c r="AG4843" i="2"/>
  <c r="AH4843" i="2"/>
  <c r="AI4843" i="2"/>
  <c r="AJ4843" i="2"/>
  <c r="AF4844" i="2"/>
  <c r="AK4844" i="2" s="1"/>
  <c r="AG4844" i="2"/>
  <c r="AH4844" i="2"/>
  <c r="AL4844" i="2" s="1"/>
  <c r="AI4844" i="2"/>
  <c r="AJ4844" i="2"/>
  <c r="AF4845" i="2"/>
  <c r="AK4845" i="2"/>
  <c r="AG4845" i="2"/>
  <c r="AH4845" i="2"/>
  <c r="AL4845" i="2" s="1"/>
  <c r="AI4845" i="2"/>
  <c r="AJ4845" i="2"/>
  <c r="AF4846" i="2"/>
  <c r="AK4846" i="2"/>
  <c r="AG4846" i="2"/>
  <c r="AH4846" i="2"/>
  <c r="AI4846" i="2"/>
  <c r="AJ4846" i="2"/>
  <c r="AL4846" i="2"/>
  <c r="AF4847" i="2"/>
  <c r="AK4847" i="2"/>
  <c r="AG4847" i="2"/>
  <c r="AL4847" i="2" s="1"/>
  <c r="AH4847" i="2"/>
  <c r="AI4847" i="2"/>
  <c r="AJ4847" i="2"/>
  <c r="AF4848" i="2"/>
  <c r="AK4848" i="2" s="1"/>
  <c r="AL4848" i="2" s="1"/>
  <c r="AG4848" i="2"/>
  <c r="AH4848" i="2"/>
  <c r="AI4848" i="2"/>
  <c r="AJ4848" i="2"/>
  <c r="AF4849" i="2"/>
  <c r="AK4849" i="2"/>
  <c r="AG4849" i="2"/>
  <c r="AH4849" i="2"/>
  <c r="AI4849" i="2"/>
  <c r="AJ4849" i="2"/>
  <c r="AL4849" i="2" s="1"/>
  <c r="AF4850" i="2"/>
  <c r="AK4850" i="2"/>
  <c r="AG4850" i="2"/>
  <c r="AH4850" i="2"/>
  <c r="AI4850" i="2"/>
  <c r="AJ4850" i="2"/>
  <c r="AF4851" i="2"/>
  <c r="AK4851" i="2"/>
  <c r="AG4851" i="2"/>
  <c r="AH4851" i="2"/>
  <c r="AL4851" i="2" s="1"/>
  <c r="AI4851" i="2"/>
  <c r="AJ4851" i="2"/>
  <c r="AF4852" i="2"/>
  <c r="AK4852" i="2"/>
  <c r="AG4852" i="2"/>
  <c r="AH4852" i="2"/>
  <c r="AI4852" i="2"/>
  <c r="AJ4852" i="2"/>
  <c r="AL4852" i="2"/>
  <c r="AF4853" i="2"/>
  <c r="AK4853" i="2"/>
  <c r="AG4853" i="2"/>
  <c r="AH4853" i="2"/>
  <c r="AI4853" i="2"/>
  <c r="AJ4853" i="2"/>
  <c r="AF4854" i="2"/>
  <c r="AK4854" i="2"/>
  <c r="AG4854" i="2"/>
  <c r="AH4854" i="2"/>
  <c r="AL4854" i="2" s="1"/>
  <c r="AI4854" i="2"/>
  <c r="AJ4854" i="2"/>
  <c r="AF4855" i="2"/>
  <c r="AK4855" i="2"/>
  <c r="AG4855" i="2"/>
  <c r="AL4855" i="2" s="1"/>
  <c r="AH4855" i="2"/>
  <c r="AI4855" i="2"/>
  <c r="AJ4855" i="2"/>
  <c r="AF4856" i="2"/>
  <c r="AK4856" i="2"/>
  <c r="AG4856" i="2"/>
  <c r="AH4856" i="2"/>
  <c r="AI4856" i="2"/>
  <c r="AJ4856" i="2"/>
  <c r="AF4857" i="2"/>
  <c r="AK4857" i="2"/>
  <c r="AG4857" i="2"/>
  <c r="AH4857" i="2"/>
  <c r="AL4857" i="2" s="1"/>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H4862" i="2"/>
  <c r="AL4862" i="2" s="1"/>
  <c r="AI4862" i="2"/>
  <c r="AJ4862" i="2"/>
  <c r="AF4863" i="2"/>
  <c r="AK4863" i="2"/>
  <c r="AG4863" i="2"/>
  <c r="AH4863" i="2"/>
  <c r="AI4863" i="2"/>
  <c r="AL4863" i="2" s="1"/>
  <c r="AJ4863" i="2"/>
  <c r="AF4864" i="2"/>
  <c r="AK4864" i="2"/>
  <c r="AG4864" i="2"/>
  <c r="AL4864" i="2" s="1"/>
  <c r="AH4864" i="2"/>
  <c r="AI4864" i="2"/>
  <c r="AJ4864" i="2"/>
  <c r="AF4865" i="2"/>
  <c r="AK4865" i="2"/>
  <c r="AG4865" i="2"/>
  <c r="AH4865" i="2"/>
  <c r="AL4865" i="2" s="1"/>
  <c r="AI4865" i="2"/>
  <c r="AJ4865" i="2"/>
  <c r="AF4866" i="2"/>
  <c r="AK4866" i="2" s="1"/>
  <c r="AG4866" i="2"/>
  <c r="AH4866" i="2"/>
  <c r="AI4866" i="2"/>
  <c r="AJ4866" i="2"/>
  <c r="AF4867" i="2"/>
  <c r="AK4867" i="2"/>
  <c r="AG4867" i="2"/>
  <c r="AL4867" i="2" s="1"/>
  <c r="AH4867" i="2"/>
  <c r="AI4867" i="2"/>
  <c r="AJ4867" i="2"/>
  <c r="AF4868" i="2"/>
  <c r="AK4868" i="2"/>
  <c r="AG4868" i="2"/>
  <c r="AL4868" i="2" s="1"/>
  <c r="AH4868" i="2"/>
  <c r="AI4868" i="2"/>
  <c r="AJ4868" i="2"/>
  <c r="AF4869" i="2"/>
  <c r="AK4869" i="2"/>
  <c r="AG4869" i="2"/>
  <c r="AL4869" i="2"/>
  <c r="AH4869" i="2"/>
  <c r="AI4869" i="2"/>
  <c r="AJ4869" i="2"/>
  <c r="AF4870" i="2"/>
  <c r="AK4870" i="2" s="1"/>
  <c r="AL4870" i="2" s="1"/>
  <c r="AG4870" i="2"/>
  <c r="AH4870" i="2"/>
  <c r="AI4870" i="2"/>
  <c r="AJ4870" i="2"/>
  <c r="AF4871" i="2"/>
  <c r="AK4871" i="2"/>
  <c r="AG4871" i="2"/>
  <c r="AH4871" i="2"/>
  <c r="AI4871" i="2"/>
  <c r="AJ4871" i="2"/>
  <c r="AF4872" i="2"/>
  <c r="AK4872" i="2"/>
  <c r="AG4872" i="2"/>
  <c r="AH4872" i="2"/>
  <c r="AI4872" i="2"/>
  <c r="AJ4872" i="2"/>
  <c r="AF4873" i="2"/>
  <c r="AK4873" i="2"/>
  <c r="AG4873" i="2"/>
  <c r="AH4873" i="2"/>
  <c r="AL4873" i="2" s="1"/>
  <c r="AI4873" i="2"/>
  <c r="AJ4873" i="2"/>
  <c r="AF4874" i="2"/>
  <c r="AK4874" i="2"/>
  <c r="AG4874" i="2"/>
  <c r="AH4874" i="2"/>
  <c r="AI4874" i="2"/>
  <c r="AJ4874" i="2"/>
  <c r="AF4875" i="2"/>
  <c r="AK4875" i="2" s="1"/>
  <c r="AL4875" i="2" s="1"/>
  <c r="AG4875" i="2"/>
  <c r="AH4875" i="2"/>
  <c r="AI4875" i="2"/>
  <c r="AJ4875" i="2"/>
  <c r="AF4876" i="2"/>
  <c r="AK4876" i="2"/>
  <c r="AG4876" i="2"/>
  <c r="AL4876" i="2" s="1"/>
  <c r="AH4876" i="2"/>
  <c r="AI4876" i="2"/>
  <c r="AJ4876" i="2"/>
  <c r="AF4877" i="2"/>
  <c r="AG4877" i="2"/>
  <c r="AH4877" i="2"/>
  <c r="AI4877" i="2"/>
  <c r="AJ4877" i="2"/>
  <c r="AK4877" i="2"/>
  <c r="AF4878" i="2"/>
  <c r="AK4878" i="2"/>
  <c r="AG4878" i="2"/>
  <c r="AH4878" i="2"/>
  <c r="AI4878" i="2"/>
  <c r="AL4878" i="2" s="1"/>
  <c r="AJ4878" i="2"/>
  <c r="AF4879" i="2"/>
  <c r="AK4879" i="2"/>
  <c r="AG4879" i="2"/>
  <c r="AH4879" i="2"/>
  <c r="AI4879" i="2"/>
  <c r="AJ4879" i="2"/>
  <c r="AF4880" i="2"/>
  <c r="AK4880" i="2" s="1"/>
  <c r="AG4880" i="2"/>
  <c r="AH4880" i="2"/>
  <c r="AL4880" i="2" s="1"/>
  <c r="AI4880" i="2"/>
  <c r="AJ4880" i="2"/>
  <c r="AF4881" i="2"/>
  <c r="AK4881" i="2"/>
  <c r="AG4881" i="2"/>
  <c r="AL4881" i="2" s="1"/>
  <c r="AH4881" i="2"/>
  <c r="AI4881" i="2"/>
  <c r="AJ4881" i="2"/>
  <c r="AF4882" i="2"/>
  <c r="AK4882" i="2"/>
  <c r="AG4882" i="2"/>
  <c r="AH4882" i="2"/>
  <c r="AI4882" i="2"/>
  <c r="AJ4882" i="2"/>
  <c r="AL4882" i="2" s="1"/>
  <c r="AF4883" i="2"/>
  <c r="AK4883" i="2"/>
  <c r="AG4883" i="2"/>
  <c r="AL4883" i="2" s="1"/>
  <c r="AH4883" i="2"/>
  <c r="AI4883" i="2"/>
  <c r="AJ4883" i="2"/>
  <c r="AF4884" i="2"/>
  <c r="AK4884" i="2" s="1"/>
  <c r="AL4884" i="2" s="1"/>
  <c r="AG4884" i="2"/>
  <c r="AH4884" i="2"/>
  <c r="AI4884" i="2"/>
  <c r="AJ4884" i="2"/>
  <c r="AF4885" i="2"/>
  <c r="AK4885" i="2"/>
  <c r="AG4885" i="2"/>
  <c r="AH4885" i="2"/>
  <c r="AI4885" i="2"/>
  <c r="AJ4885" i="2"/>
  <c r="AF4886" i="2"/>
  <c r="AK4886" i="2" s="1"/>
  <c r="AG4886" i="2"/>
  <c r="AH4886" i="2"/>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c r="AG4891" i="2"/>
  <c r="AH4891" i="2"/>
  <c r="AI4891" i="2"/>
  <c r="AJ4891" i="2"/>
  <c r="AL4891" i="2" s="1"/>
  <c r="AF4892" i="2"/>
  <c r="AK4892" i="2"/>
  <c r="AG4892" i="2"/>
  <c r="AH4892" i="2"/>
  <c r="AI4892" i="2"/>
  <c r="AJ4892" i="2"/>
  <c r="AF4893" i="2"/>
  <c r="AK4893" i="2"/>
  <c r="AG4893" i="2"/>
  <c r="AH4893" i="2"/>
  <c r="AL4893" i="2" s="1"/>
  <c r="AI4893" i="2"/>
  <c r="AJ4893" i="2"/>
  <c r="AF4894" i="2"/>
  <c r="AK4894" i="2"/>
  <c r="AG4894" i="2"/>
  <c r="AH4894" i="2"/>
  <c r="AI4894" i="2"/>
  <c r="AJ4894" i="2"/>
  <c r="AF4895" i="2"/>
  <c r="AK4895" i="2" s="1"/>
  <c r="AL4895" i="2" s="1"/>
  <c r="AG4895" i="2"/>
  <c r="AH4895" i="2"/>
  <c r="AI4895" i="2"/>
  <c r="AJ4895" i="2"/>
  <c r="AF4896" i="2"/>
  <c r="AK4896" i="2"/>
  <c r="AG4896" i="2"/>
  <c r="AH4896" i="2"/>
  <c r="AI4896" i="2"/>
  <c r="AJ4896" i="2"/>
  <c r="AF4897" i="2"/>
  <c r="AK4897" i="2" s="1"/>
  <c r="AG4897" i="2"/>
  <c r="AH4897" i="2"/>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L4907" i="2" s="1"/>
  <c r="AH4907" i="2"/>
  <c r="AI4907" i="2"/>
  <c r="AJ4907" i="2"/>
  <c r="AF4908" i="2"/>
  <c r="AK4908" i="2" s="1"/>
  <c r="AL4908" i="2" s="1"/>
  <c r="AG4908" i="2"/>
  <c r="AH4908" i="2"/>
  <c r="AI4908" i="2"/>
  <c r="AJ4908" i="2"/>
  <c r="AF4909" i="2"/>
  <c r="AK4909" i="2"/>
  <c r="AG4909" i="2"/>
  <c r="AH4909" i="2"/>
  <c r="AI4909" i="2"/>
  <c r="AJ4909" i="2"/>
  <c r="AL4909" i="2" s="1"/>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H4915" i="2"/>
  <c r="AI4915" i="2"/>
  <c r="AL4915" i="2" s="1"/>
  <c r="AJ4915" i="2"/>
  <c r="AF4916" i="2"/>
  <c r="AK4916" i="2"/>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F4922" i="2"/>
  <c r="AK4922" i="2" s="1"/>
  <c r="AG4922" i="2"/>
  <c r="AH4922" i="2"/>
  <c r="AL4922" i="2" s="1"/>
  <c r="AI4922" i="2"/>
  <c r="AJ4922" i="2"/>
  <c r="AF4923" i="2"/>
  <c r="AK4923" i="2"/>
  <c r="AG4923" i="2"/>
  <c r="AH4923" i="2"/>
  <c r="AI4923" i="2"/>
  <c r="AJ4923" i="2"/>
  <c r="AF4924" i="2"/>
  <c r="AK4924" i="2"/>
  <c r="AG4924" i="2"/>
  <c r="AL4924" i="2" s="1"/>
  <c r="AH4924" i="2"/>
  <c r="AI4924" i="2"/>
  <c r="AJ4924" i="2"/>
  <c r="AF4925" i="2"/>
  <c r="AK4925" i="2" s="1"/>
  <c r="AL4925" i="2" s="1"/>
  <c r="AG4925" i="2"/>
  <c r="AH4925" i="2"/>
  <c r="AI4925" i="2"/>
  <c r="AJ4925" i="2"/>
  <c r="AF4926" i="2"/>
  <c r="AK4926" i="2"/>
  <c r="AG4926" i="2"/>
  <c r="AH4926" i="2"/>
  <c r="AI4926" i="2"/>
  <c r="AJ4926" i="2"/>
  <c r="AF4927" i="2"/>
  <c r="AK4927" i="2" s="1"/>
  <c r="AG4927" i="2"/>
  <c r="AL4927" i="2" s="1"/>
  <c r="AH4927" i="2"/>
  <c r="AI4927" i="2"/>
  <c r="AJ4927" i="2"/>
  <c r="AF4928" i="2"/>
  <c r="AK4928" i="2"/>
  <c r="AG4928" i="2"/>
  <c r="AL4928" i="2" s="1"/>
  <c r="AH4928" i="2"/>
  <c r="AI4928" i="2"/>
  <c r="AJ4928" i="2"/>
  <c r="AF4929" i="2"/>
  <c r="AK4929" i="2"/>
  <c r="AG4929" i="2"/>
  <c r="AH4929" i="2"/>
  <c r="AI4929" i="2"/>
  <c r="AJ4929" i="2"/>
  <c r="AF4930" i="2"/>
  <c r="AK4930" i="2" s="1"/>
  <c r="AG4930" i="2"/>
  <c r="AH4930" i="2"/>
  <c r="AL4930" i="2" s="1"/>
  <c r="AI4930" i="2"/>
  <c r="AJ4930" i="2"/>
  <c r="AF4931" i="2"/>
  <c r="AK4931" i="2"/>
  <c r="AG4931" i="2"/>
  <c r="AH4931" i="2"/>
  <c r="AI4931" i="2"/>
  <c r="AJ4931" i="2"/>
  <c r="AF4932" i="2"/>
  <c r="AK4932" i="2"/>
  <c r="AG4932" i="2"/>
  <c r="AL4932" i="2"/>
  <c r="AH4932" i="2"/>
  <c r="AI4932" i="2"/>
  <c r="AJ4932" i="2"/>
  <c r="AF4933" i="2"/>
  <c r="AK4933" i="2" s="1"/>
  <c r="AL4933" i="2" s="1"/>
  <c r="AG4933" i="2"/>
  <c r="AH4933" i="2"/>
  <c r="AI4933" i="2"/>
  <c r="AJ4933" i="2"/>
  <c r="AF4934" i="2"/>
  <c r="AK4934" i="2"/>
  <c r="AG4934" i="2"/>
  <c r="AL4934" i="2" s="1"/>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I4940" i="2"/>
  <c r="AL4940" i="2" s="1"/>
  <c r="AJ4940" i="2"/>
  <c r="AF4941" i="2"/>
  <c r="AK4941" i="2"/>
  <c r="AG4941" i="2"/>
  <c r="AL4941" i="2" s="1"/>
  <c r="AH4941" i="2"/>
  <c r="AI4941" i="2"/>
  <c r="AJ4941" i="2"/>
  <c r="AF4942" i="2"/>
  <c r="AK4942" i="2"/>
  <c r="AG4942" i="2"/>
  <c r="AL4942" i="2"/>
  <c r="AH4942" i="2"/>
  <c r="AI4942" i="2"/>
  <c r="AJ4942" i="2"/>
  <c r="AF4943" i="2"/>
  <c r="AK4943" i="2" s="1"/>
  <c r="AL4943" i="2" s="1"/>
  <c r="AG4943" i="2"/>
  <c r="AH4943" i="2"/>
  <c r="AI4943" i="2"/>
  <c r="AJ4943" i="2"/>
  <c r="AF4944" i="2"/>
  <c r="AK4944" i="2"/>
  <c r="AG4944" i="2"/>
  <c r="AH4944" i="2"/>
  <c r="AI4944" i="2"/>
  <c r="AJ4944" i="2"/>
  <c r="AF4945" i="2"/>
  <c r="AK4945" i="2" s="1"/>
  <c r="AG4945" i="2"/>
  <c r="AH4945" i="2"/>
  <c r="AI4945" i="2"/>
  <c r="AJ4945" i="2"/>
  <c r="AF4946" i="2"/>
  <c r="AK4946" i="2"/>
  <c r="AG4946" i="2"/>
  <c r="AH4946" i="2"/>
  <c r="AL4946" i="2" s="1"/>
  <c r="AI4946" i="2"/>
  <c r="AJ4946" i="2"/>
  <c r="AF4947" i="2"/>
  <c r="AK4947" i="2"/>
  <c r="AG4947" i="2"/>
  <c r="AL4947" i="2" s="1"/>
  <c r="AH4947" i="2"/>
  <c r="AI4947" i="2"/>
  <c r="AJ4947" i="2"/>
  <c r="AF4948" i="2"/>
  <c r="AK4948" i="2"/>
  <c r="AG4948" i="2"/>
  <c r="AH4948" i="2"/>
  <c r="AI4948" i="2"/>
  <c r="AJ4948" i="2"/>
  <c r="AF4949" i="2"/>
  <c r="AK4949" i="2"/>
  <c r="AG4949" i="2"/>
  <c r="AH4949" i="2"/>
  <c r="AI4949" i="2"/>
  <c r="AJ4949" i="2"/>
  <c r="AF4950" i="2"/>
  <c r="AK4950" i="2"/>
  <c r="AG4950" i="2"/>
  <c r="AL4950" i="2" s="1"/>
  <c r="AH4950" i="2"/>
  <c r="AI4950" i="2"/>
  <c r="AJ4950" i="2"/>
  <c r="AF4951" i="2"/>
  <c r="AK4951" i="2" s="1"/>
  <c r="AL4951" i="2" s="1"/>
  <c r="AG4951" i="2"/>
  <c r="AH4951" i="2"/>
  <c r="AI4951" i="2"/>
  <c r="AJ4951" i="2"/>
  <c r="AF4952" i="2"/>
  <c r="AG4952" i="2"/>
  <c r="AH4952" i="2"/>
  <c r="AI4952" i="2"/>
  <c r="AJ4952" i="2"/>
  <c r="AK4952" i="2"/>
  <c r="AF4953" i="2"/>
  <c r="AK4953" i="2" s="1"/>
  <c r="AL4953" i="2" s="1"/>
  <c r="AG4953" i="2"/>
  <c r="AH4953" i="2"/>
  <c r="AI4953" i="2"/>
  <c r="AJ4953" i="2"/>
  <c r="AF4954" i="2"/>
  <c r="AK4954" i="2"/>
  <c r="AG4954" i="2"/>
  <c r="AH4954" i="2"/>
  <c r="AI4954" i="2"/>
  <c r="AJ4954" i="2"/>
  <c r="AL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L4958" i="2" s="1"/>
  <c r="AG4958" i="2"/>
  <c r="AH4958" i="2"/>
  <c r="AI4958" i="2"/>
  <c r="AJ4958" i="2"/>
  <c r="AF4959" i="2"/>
  <c r="AK4959" i="2"/>
  <c r="AG4959" i="2"/>
  <c r="AH4959" i="2"/>
  <c r="AI4959" i="2"/>
  <c r="AJ4959" i="2"/>
  <c r="AF4960" i="2"/>
  <c r="AK4960" i="2" s="1"/>
  <c r="AL4960" i="2" s="1"/>
  <c r="AG4960" i="2"/>
  <c r="AH4960" i="2"/>
  <c r="AI4960" i="2"/>
  <c r="AJ4960" i="2"/>
  <c r="AF4961" i="2"/>
  <c r="AK4961" i="2"/>
  <c r="AG4961" i="2"/>
  <c r="AH4961" i="2"/>
  <c r="AI4961" i="2"/>
  <c r="AJ4961" i="2"/>
  <c r="AF4962" i="2"/>
  <c r="AK4962" i="2" s="1"/>
  <c r="AL4962" i="2" s="1"/>
  <c r="AG4962" i="2"/>
  <c r="AH4962" i="2"/>
  <c r="AI4962" i="2"/>
  <c r="AJ4962" i="2"/>
  <c r="AF4963" i="2"/>
  <c r="AK4963" i="2"/>
  <c r="AG4963" i="2"/>
  <c r="AH4963" i="2"/>
  <c r="AL4963" i="2" s="1"/>
  <c r="AI4963" i="2"/>
  <c r="AJ4963" i="2"/>
  <c r="AF4964" i="2"/>
  <c r="AK4964" i="2"/>
  <c r="AG4964" i="2"/>
  <c r="AH4964" i="2"/>
  <c r="AI4964" i="2"/>
  <c r="AJ4964" i="2"/>
  <c r="AF4965" i="2"/>
  <c r="AK4965" i="2" s="1"/>
  <c r="AG4965" i="2"/>
  <c r="AH4965" i="2"/>
  <c r="AI4965" i="2"/>
  <c r="AJ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I4969" i="2"/>
  <c r="AJ4969" i="2"/>
  <c r="AF4970" i="2"/>
  <c r="AK4970" i="2"/>
  <c r="AG4970" i="2"/>
  <c r="AL4970" i="2"/>
  <c r="AH4970" i="2"/>
  <c r="AI4970" i="2"/>
  <c r="AJ4970" i="2"/>
  <c r="AF4971" i="2"/>
  <c r="AK4971" i="2" s="1"/>
  <c r="AL4971" i="2" s="1"/>
  <c r="AG4971" i="2"/>
  <c r="AH4971" i="2"/>
  <c r="AI4971" i="2"/>
  <c r="AJ4971" i="2"/>
  <c r="AF4972" i="2"/>
  <c r="AK4972" i="2"/>
  <c r="AG4972" i="2"/>
  <c r="AL4972" i="2" s="1"/>
  <c r="AH4972" i="2"/>
  <c r="AI4972" i="2"/>
  <c r="AJ4972" i="2"/>
  <c r="AF4973" i="2"/>
  <c r="AK4973" i="2"/>
  <c r="AG4973" i="2"/>
  <c r="AH4973" i="2"/>
  <c r="AI4973" i="2"/>
  <c r="AJ4973" i="2"/>
  <c r="AF4974" i="2"/>
  <c r="AK4974" i="2" s="1"/>
  <c r="AL4974" i="2" s="1"/>
  <c r="AG4974" i="2"/>
  <c r="AH4974" i="2"/>
  <c r="AI4974" i="2"/>
  <c r="AJ4974" i="2"/>
  <c r="AF4975" i="2"/>
  <c r="AK4975" i="2"/>
  <c r="AG4975" i="2"/>
  <c r="AL4975" i="2" s="1"/>
  <c r="AH4975" i="2"/>
  <c r="AI4975" i="2"/>
  <c r="AJ4975" i="2"/>
  <c r="AF4976" i="2"/>
  <c r="AK4976" i="2"/>
  <c r="AG4976" i="2"/>
  <c r="AH4976" i="2"/>
  <c r="AI4976" i="2"/>
  <c r="AJ4976" i="2"/>
  <c r="AF4977" i="2"/>
  <c r="AK4977" i="2"/>
  <c r="AG4977" i="2"/>
  <c r="AH4977" i="2"/>
  <c r="AL4977" i="2" s="1"/>
  <c r="AI4977" i="2"/>
  <c r="AJ4977" i="2"/>
  <c r="AF4978" i="2"/>
  <c r="AK4978" i="2"/>
  <c r="AG4978" i="2"/>
  <c r="AH4978" i="2"/>
  <c r="AI4978" i="2"/>
  <c r="AJ4978" i="2"/>
  <c r="AL4978" i="2" s="1"/>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c r="AH4984" i="2"/>
  <c r="AI4984" i="2"/>
  <c r="AJ4984" i="2"/>
  <c r="AF4985" i="2"/>
  <c r="AK4985" i="2" s="1"/>
  <c r="AL4985" i="2" s="1"/>
  <c r="AG4985" i="2"/>
  <c r="AH4985" i="2"/>
  <c r="AI4985" i="2"/>
  <c r="AJ4985" i="2"/>
  <c r="AF4986" i="2"/>
  <c r="AK4986" i="2"/>
  <c r="AG4986" i="2"/>
  <c r="AL4986" i="2" s="1"/>
  <c r="AH4986" i="2"/>
  <c r="AI4986" i="2"/>
  <c r="AJ4986" i="2"/>
  <c r="AF4987" i="2"/>
  <c r="AK4987" i="2"/>
  <c r="AG4987" i="2"/>
  <c r="AH4987" i="2"/>
  <c r="AL4987" i="2" s="1"/>
  <c r="AI4987" i="2"/>
  <c r="AJ4987" i="2"/>
  <c r="AF4988" i="2"/>
  <c r="AK4988" i="2" s="1"/>
  <c r="AL4988" i="2" s="1"/>
  <c r="AG4988" i="2"/>
  <c r="AH4988" i="2"/>
  <c r="AI4988" i="2"/>
  <c r="AJ4988" i="2"/>
  <c r="AF4989" i="2"/>
  <c r="AK4989" i="2"/>
  <c r="AG4989" i="2"/>
  <c r="AH4989" i="2"/>
  <c r="AI4989" i="2"/>
  <c r="AJ4989" i="2"/>
  <c r="AF4990" i="2"/>
  <c r="AK4990" i="2"/>
  <c r="AG4990" i="2"/>
  <c r="AL4990" i="2" s="1"/>
  <c r="AH4990" i="2"/>
  <c r="AI4990" i="2"/>
  <c r="AJ4990" i="2"/>
  <c r="AF4991" i="2"/>
  <c r="AK4991" i="2" s="1"/>
  <c r="AG4991" i="2"/>
  <c r="AL4991" i="2" s="1"/>
  <c r="AH4991" i="2"/>
  <c r="AI4991" i="2"/>
  <c r="AJ4991" i="2"/>
  <c r="AF4992" i="2"/>
  <c r="AK4992" i="2"/>
  <c r="AG4992" i="2"/>
  <c r="AH4992" i="2"/>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J4995" i="2"/>
  <c r="AL4995" i="2" s="1"/>
  <c r="AF4996" i="2"/>
  <c r="AK4996" i="2"/>
  <c r="AG4996" i="2"/>
  <c r="AL4996" i="2" s="1"/>
  <c r="AH4996" i="2"/>
  <c r="AI4996" i="2"/>
  <c r="AJ4996" i="2"/>
  <c r="AF4997" i="2"/>
  <c r="AK4997" i="2" s="1"/>
  <c r="AL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87" i="2"/>
  <c r="AL79" i="2"/>
  <c r="AL71" i="2"/>
  <c r="AL63" i="2"/>
  <c r="AL55" i="2"/>
  <c r="AL89" i="2"/>
  <c r="AL81" i="2"/>
  <c r="AL73" i="2"/>
  <c r="AL65" i="2"/>
  <c r="AL57" i="2"/>
  <c r="AL49" i="2"/>
  <c r="AL33" i="2"/>
  <c r="AM33" i="2" s="1"/>
  <c r="AL75" i="2"/>
  <c r="AL67" i="2"/>
  <c r="AL59" i="2"/>
  <c r="AL51" i="2"/>
  <c r="AL4796" i="2"/>
  <c r="AL4551" i="2"/>
  <c r="AL4563" i="2"/>
  <c r="AL4541" i="2"/>
  <c r="AL4665" i="2"/>
  <c r="AL4553" i="2"/>
  <c r="AL4329" i="2"/>
  <c r="AL4268" i="2"/>
  <c r="AL4200" i="2"/>
  <c r="AL4149" i="2"/>
  <c r="AL4136" i="2"/>
  <c r="AL4092" i="2"/>
  <c r="AL4085" i="2"/>
  <c r="AL4062" i="2"/>
  <c r="AL4395" i="2"/>
  <c r="AL4387" i="2"/>
  <c r="AL4337" i="2"/>
  <c r="AL4333" i="2"/>
  <c r="AL4368" i="2"/>
  <c r="AL4341" i="2"/>
  <c r="AL4331"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401"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48" i="2"/>
  <c r="AL4711" i="2"/>
  <c r="AL4829" i="2"/>
  <c r="AL4720" i="2"/>
  <c r="AL4818" i="2"/>
  <c r="AL4697" i="2"/>
  <c r="AL4447"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68" i="2"/>
  <c r="AL64" i="2"/>
  <c r="AL5243" i="2"/>
  <c r="AL173" i="2"/>
  <c r="AL5018" i="2"/>
  <c r="AL5021" i="2"/>
  <c r="AL5223" i="2"/>
  <c r="AL4752" i="2"/>
  <c r="AL4489" i="2"/>
  <c r="AL4324" i="2"/>
  <c r="AL4278" i="2"/>
  <c r="AL4225" i="2"/>
  <c r="AL4141" i="2"/>
  <c r="AL4966" i="2"/>
  <c r="AL4900" i="2"/>
  <c r="AL4816" i="2"/>
  <c r="AL4813" i="2"/>
  <c r="AL4459" i="2"/>
  <c r="AL4433" i="2"/>
  <c r="AL4303" i="2"/>
  <c r="AL3843" i="2"/>
  <c r="AL4528" i="2"/>
  <c r="AL4466" i="2"/>
  <c r="AL4949" i="2"/>
  <c r="AL4756" i="2"/>
  <c r="AL4734" i="2"/>
  <c r="AL4724" i="2"/>
  <c r="AL4644" i="2"/>
  <c r="AL4494" i="2"/>
  <c r="AL4478" i="2"/>
  <c r="AL4454" i="2"/>
  <c r="AL4431" i="2"/>
  <c r="AL4345" i="2"/>
  <c r="AL4338" i="2"/>
  <c r="AL4007" i="2"/>
  <c r="AL3986" i="2"/>
  <c r="AL4804" i="2"/>
  <c r="AL4981" i="2"/>
  <c r="AL4938" i="2"/>
  <c r="AL4877" i="2"/>
  <c r="AL4798" i="2"/>
  <c r="AL4736" i="2"/>
  <c r="AL4633" i="2"/>
  <c r="AL4549" i="2"/>
  <c r="AL4461" i="2"/>
  <c r="AL4439"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09" i="2"/>
  <c r="AL4587" i="2"/>
  <c r="AL4520" i="2"/>
  <c r="AL4398" i="2"/>
  <c r="AL4388" i="2"/>
  <c r="AL4716" i="2"/>
  <c r="AL4601" i="2"/>
  <c r="AL4396" i="2"/>
  <c r="AL4952" i="2"/>
  <c r="AL4807" i="2"/>
  <c r="AL4668" i="2"/>
  <c r="AL4591" i="2"/>
  <c r="AL4332" i="2"/>
  <c r="AL4910" i="2"/>
  <c r="AL4750" i="2"/>
  <c r="AL4636" i="2"/>
  <c r="AL4617" i="2"/>
  <c r="AL4518" i="2"/>
  <c r="AL4979" i="2"/>
  <c r="AL4837" i="2"/>
  <c r="AL4835" i="2"/>
  <c r="AL4706" i="2"/>
  <c r="AL4629" i="2"/>
  <c r="AL4453" i="2"/>
  <c r="AL4334" i="2"/>
  <c r="AL4233" i="2"/>
  <c r="AL4931" i="2"/>
  <c r="AL4802" i="2"/>
  <c r="AL4688" i="2"/>
  <c r="AL4516"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55" i="2"/>
  <c r="AL4936" i="2"/>
  <c r="AL4914" i="2"/>
  <c r="AL4797" i="2"/>
  <c r="AL4649" i="2"/>
  <c r="AL4597" i="2"/>
  <c r="AL4858" i="2"/>
  <c r="AL4704" i="2"/>
  <c r="AL4664" i="2"/>
  <c r="AL4973" i="2"/>
  <c r="AL4853" i="2"/>
  <c r="AL4785" i="2"/>
  <c r="AL4698" i="2"/>
  <c r="AL4892" i="2"/>
  <c r="AL4850" i="2"/>
  <c r="AL4964" i="2"/>
  <c r="AL4545" i="2"/>
  <c r="AL4385" i="2"/>
  <c r="AL4298" i="2"/>
  <c r="AL4143" i="2"/>
  <c r="AL4083" i="2"/>
  <c r="AL4035" i="2"/>
  <c r="AL3999" i="2"/>
  <c r="AL3979" i="2"/>
  <c r="AL3969" i="2"/>
  <c r="AL3798" i="2"/>
  <c r="AL3744" i="2"/>
  <c r="AL3546" i="2"/>
  <c r="AL3523" i="2"/>
  <c r="AL4366" i="2"/>
  <c r="AL4234" i="2"/>
  <c r="AL4167" i="2"/>
  <c r="AL4153" i="2"/>
  <c r="AL4110" i="2"/>
  <c r="AL4096" i="2"/>
  <c r="AL4328" i="2"/>
  <c r="AL4217" i="2"/>
  <c r="AL4030" i="2"/>
  <c r="AL3880" i="2"/>
  <c r="AL3877" i="2"/>
  <c r="AL3787" i="2"/>
  <c r="AL3563" i="2"/>
  <c r="AL4399" i="2"/>
  <c r="AL4352" i="2"/>
  <c r="AL4165" i="2"/>
  <c r="AL4134" i="2"/>
  <c r="AL4053" i="2"/>
  <c r="AL4037" i="2"/>
  <c r="AL3957" i="2"/>
  <c r="AL4379" i="2"/>
  <c r="AL4315" i="2"/>
  <c r="AL4277" i="2"/>
  <c r="AL4196" i="2"/>
  <c r="AL4074" i="2"/>
  <c r="AL3981" i="2"/>
  <c r="AL3888"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39" i="2"/>
  <c r="AL4677" i="2"/>
  <c r="AL4992" i="2"/>
  <c r="AL4989" i="2"/>
  <c r="AL4929" i="2"/>
  <c r="AL4916" i="2"/>
  <c r="AL4856" i="2"/>
  <c r="AL4840" i="2"/>
  <c r="AL4779" i="2"/>
  <c r="AL4771" i="2"/>
  <c r="AL4719" i="2"/>
  <c r="AL4537" i="2"/>
  <c r="AL4948" i="2"/>
  <c r="AL4926" i="2"/>
  <c r="AL4906" i="2"/>
  <c r="AL4903" i="2"/>
  <c r="AL4896" i="2"/>
  <c r="AL4874" i="2"/>
  <c r="AL4871" i="2"/>
  <c r="AL4860" i="2"/>
  <c r="AL4817" i="2"/>
  <c r="AL4799" i="2"/>
  <c r="AL4772" i="2"/>
  <c r="AL4647" i="2"/>
  <c r="AL4588" i="2"/>
  <c r="AL4582" i="2"/>
  <c r="AL4961" i="2"/>
  <c r="AL4944" i="2"/>
  <c r="AL4937" i="2"/>
  <c r="AL4923" i="2"/>
  <c r="AL4913" i="2"/>
  <c r="AL4843" i="2"/>
  <c r="AL4825" i="2"/>
  <c r="AL4806" i="2"/>
  <c r="AL4758" i="2"/>
  <c r="AL4723" i="2"/>
  <c r="AL4675" i="2"/>
  <c r="AL4604" i="2"/>
  <c r="AL4969" i="2"/>
  <c r="AL4959" i="2"/>
  <c r="AL4911" i="2"/>
  <c r="AL4894" i="2"/>
  <c r="AL4980" i="2"/>
  <c r="AL4956" i="2"/>
  <c r="AL4904" i="2"/>
  <c r="AL4794" i="2"/>
  <c r="AL4686" i="2"/>
  <c r="AL4656" i="2"/>
  <c r="AL4580" i="2"/>
  <c r="AL4574" i="2"/>
  <c r="AL4522" i="2"/>
  <c r="AL4449" i="2"/>
  <c r="AL4935" i="2"/>
  <c r="AL4921" i="2"/>
  <c r="AL4905" i="2"/>
  <c r="AL4879" i="2"/>
  <c r="AL4819" i="2"/>
  <c r="AL4770" i="2"/>
  <c r="AL4645" i="2"/>
  <c r="AL4623" i="2"/>
  <c r="AL4619" i="2"/>
  <c r="AL4586" i="2"/>
  <c r="AL4555" i="2"/>
  <c r="AL4650" i="2"/>
  <c r="AL4576" i="2"/>
  <c r="AL4572" i="2"/>
  <c r="AL4554" i="2"/>
  <c r="AL4412" i="2"/>
  <c r="AL4404" i="2"/>
  <c r="AL4254" i="2"/>
  <c r="AL4632" i="2"/>
  <c r="AL4543" i="2"/>
  <c r="AL4526" i="2"/>
  <c r="AL4370" i="2"/>
  <c r="AL4671" i="2"/>
  <c r="AL4565" i="2"/>
  <c r="AL4500" i="2"/>
  <c r="AL4446" i="2"/>
  <c r="AL4419" i="2"/>
  <c r="AL4382" i="2"/>
  <c r="AL4362" i="2"/>
  <c r="AL4236" i="2"/>
  <c r="AL4125" i="2"/>
  <c r="AL4643" i="2"/>
  <c r="AL4413" i="2"/>
  <c r="AL4288" i="2"/>
  <c r="AL4614" i="2"/>
  <c r="AL4566" i="2"/>
  <c r="AL4504" i="2"/>
  <c r="AL4240" i="2"/>
  <c r="AL4679" i="2"/>
  <c r="AL4592" i="2"/>
  <c r="AL4100" i="2"/>
  <c r="AL4486" i="2"/>
  <c r="AL4479" i="2"/>
  <c r="AL4440"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1" i="2" l="1"/>
  <c r="AM11" i="2" s="1"/>
  <c r="AL14" i="2"/>
  <c r="AM14" i="2" s="1"/>
  <c r="AL27" i="2"/>
  <c r="AM27" i="2" s="1"/>
  <c r="AL25" i="2"/>
  <c r="AM25" i="2" s="1"/>
  <c r="AL24" i="2"/>
  <c r="AM24" i="2" s="1"/>
  <c r="AL23" i="2"/>
  <c r="AM23" i="2" s="1"/>
  <c r="AL21" i="2"/>
  <c r="AM21" i="2" s="1"/>
  <c r="AL20" i="2"/>
  <c r="AM20" i="2" s="1"/>
  <c r="AL19" i="2"/>
  <c r="AM19" i="2" s="1"/>
  <c r="AL17" i="2"/>
  <c r="AM17" i="2" s="1"/>
  <c r="AL16" i="2"/>
  <c r="AM16" i="2" s="1"/>
  <c r="AL15" i="2"/>
  <c r="AM15" i="2" s="1"/>
  <c r="AL13" i="2"/>
  <c r="AM13" i="2" s="1"/>
  <c r="AL12" i="2"/>
  <c r="AM12" i="2" s="1"/>
  <c r="AL10" i="2"/>
  <c r="AM10" i="2" s="1"/>
  <c r="AL9" i="2"/>
  <c r="AM9" i="2" s="1"/>
  <c r="AL7" i="2"/>
  <c r="AM7" i="2" s="1"/>
  <c r="AL6" i="2"/>
  <c r="AM6" i="2" s="1"/>
  <c r="AL32" i="2"/>
  <c r="AL38" i="2"/>
  <c r="AM38" i="2" s="1"/>
  <c r="AL22" i="2"/>
  <c r="AM22" i="2" s="1"/>
  <c r="AL42" i="2"/>
  <c r="AL26" i="2"/>
  <c r="AM26" i="2" s="1"/>
  <c r="AL8" i="2"/>
  <c r="AM8" i="2" s="1"/>
  <c r="AL18" i="2"/>
  <c r="AM18" i="2" s="1"/>
  <c r="AL4477" i="2"/>
  <c r="AL4968" i="2"/>
  <c r="AL4886" i="2"/>
  <c r="AL4866" i="2"/>
  <c r="AL4859" i="2"/>
  <c r="AL4826" i="2"/>
  <c r="AL4753" i="2"/>
  <c r="AL4702" i="2"/>
  <c r="AL4672" i="2"/>
  <c r="AL4564" i="2"/>
  <c r="AL4542" i="2"/>
  <c r="AL4405" i="2"/>
  <c r="AL4965" i="2"/>
  <c r="AL4945" i="2"/>
  <c r="AL4897" i="2"/>
  <c r="AL4838" i="2"/>
  <c r="AL4833" i="2"/>
  <c r="AL4795" i="2"/>
  <c r="AL4726" i="2"/>
  <c r="AL4718" i="2"/>
  <c r="AL4680" i="2"/>
  <c r="AL4511" i="2"/>
  <c r="AL4420" i="2"/>
  <c r="AL4492" i="2"/>
  <c r="AL4490" i="2"/>
  <c r="AL4473" i="2"/>
  <c r="AL4448" i="2"/>
  <c r="AL4444" i="2"/>
  <c r="AL4376" i="2"/>
  <c r="AL4259" i="2"/>
  <c r="AL4250" i="2"/>
  <c r="AL4199" i="2"/>
  <c r="AL3953" i="2"/>
  <c r="AL3925" i="2"/>
  <c r="AL3774" i="2"/>
  <c r="AL3751" i="2"/>
  <c r="AL3741" i="2"/>
  <c r="AL3630" i="2"/>
  <c r="AL3579" i="2"/>
  <c r="AL4613" i="2"/>
  <c r="AL4595" i="2"/>
  <c r="AL4567" i="2"/>
  <c r="AL4539" i="2"/>
  <c r="AL4505" i="2"/>
  <c r="AL4480" i="2"/>
  <c r="AL4403" i="2"/>
  <c r="AL4360" i="2"/>
  <c r="AL4194" i="2"/>
  <c r="AL4190" i="2"/>
  <c r="AL3928" i="2"/>
  <c r="AL3832" i="2"/>
  <c r="AL3827" i="2"/>
  <c r="AL4544" i="2"/>
  <c r="AL4535" i="2"/>
  <c r="AL4508" i="2"/>
  <c r="AL4474" i="2"/>
  <c r="AL4296" i="2"/>
  <c r="AL4271" i="2"/>
  <c r="AL4258" i="2"/>
  <c r="AL4186" i="2"/>
  <c r="AL4116" i="2"/>
  <c r="AL3885" i="2"/>
  <c r="AL3810" i="2"/>
  <c r="AL3757" i="2"/>
  <c r="AL3710" i="2"/>
  <c r="AL4602" i="2"/>
  <c r="AL4598" i="2"/>
  <c r="AL4562" i="2"/>
  <c r="AL4430" i="2"/>
  <c r="AL4409" i="2"/>
  <c r="AL4407" i="2"/>
  <c r="AL4204" i="2"/>
  <c r="AL4182" i="2"/>
  <c r="AL4129" i="2"/>
  <c r="AL4111" i="2"/>
  <c r="AL3956" i="2"/>
  <c r="AL3950" i="2"/>
  <c r="AL3611" i="2"/>
  <c r="AL3515" i="2"/>
  <c r="AL3494" i="2"/>
  <c r="AL3440" i="2"/>
  <c r="AL3467" i="2"/>
  <c r="AL3320" i="2"/>
  <c r="AL3306" i="2"/>
  <c r="AL3272" i="2"/>
  <c r="AL3439" i="2"/>
  <c r="AL3415" i="2"/>
  <c r="AL3382" i="2"/>
  <c r="AL3310" i="2"/>
  <c r="AL3302" i="2"/>
  <c r="AL3289" i="2"/>
  <c r="AL3285" i="2"/>
  <c r="AL3300" i="2"/>
  <c r="AL2851" i="2"/>
  <c r="AL2835" i="2"/>
  <c r="AL2751" i="2"/>
  <c r="AL2690" i="2"/>
  <c r="AL2364" i="2"/>
  <c r="AL2224" i="2"/>
  <c r="AL2199" i="2"/>
  <c r="AL3307" i="2"/>
  <c r="AL3255" i="2"/>
  <c r="AL3253" i="2"/>
  <c r="AL3221" i="2"/>
  <c r="AL3138" i="2"/>
  <c r="AL2939" i="2"/>
  <c r="AL2653" i="2"/>
  <c r="AL2641" i="2"/>
  <c r="AL2571" i="2"/>
  <c r="AL2545" i="2"/>
  <c r="AL2542" i="2"/>
  <c r="AL2448" i="2"/>
  <c r="AL2430" i="2"/>
  <c r="AL2416" i="2"/>
  <c r="AL2398" i="2"/>
  <c r="AL2366" i="2"/>
  <c r="AL3378" i="2"/>
  <c r="AL3353" i="2"/>
  <c r="AL3328" i="2"/>
  <c r="AL3212" i="2"/>
  <c r="AL2968" i="2"/>
  <c r="AL2767" i="2"/>
  <c r="AL2759" i="2"/>
  <c r="AL2630" i="2"/>
  <c r="AL2606" i="2"/>
  <c r="AL2557" i="2"/>
  <c r="AL2482" i="2"/>
  <c r="AL2473" i="2"/>
  <c r="AL2390" i="2"/>
  <c r="AL2216" i="2"/>
  <c r="AL2124" i="2"/>
  <c r="AL2066" i="2"/>
  <c r="AL2006" i="2"/>
  <c r="AL1633" i="2"/>
  <c r="AL1544" i="2"/>
  <c r="AL1411" i="2"/>
  <c r="AL1183" i="2"/>
  <c r="AL967" i="2"/>
  <c r="AL925" i="2"/>
  <c r="AL998" i="2"/>
  <c r="AL950" i="2"/>
  <c r="AL947" i="2"/>
  <c r="AL179" i="2"/>
  <c r="AL5057" i="2"/>
  <c r="AL508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rgb="FF000000"/>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<sst xmlns="http://schemas.openxmlformats.org/spreadsheetml/2006/main" count="248" uniqueCount="141">
  <si>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</si>
  <si>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</si>
  <si>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</si>
  <si>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</si>
  <si>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</si>
  <si>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</si>
  <si>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</si>
  <si>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</si>
  <si>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</si>
  <si>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</si>
  <si>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</si>
  <si>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</si>
  <si>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</si>
  <si>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</si>
  <si>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</si>
  <si>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</si>
  <si>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</si>
  <si>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</si>
  <si>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</si>
  <si>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</si>
  <si>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</si>
  <si>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</si>
  <si>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</si>
  <si>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</si>
  <si>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</si>
  <si>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</si>
  <si>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</si>
  <si>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</si>
  <si>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</si>
  <si>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</si>
  <si>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</si>
  <si>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</si>
  <si>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</si>
  <si>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</si>
  <si>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</si>
  <si>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</si>
  <si>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</si>
  <si>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</si>
  <si>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</si>
  <si>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</si>
  <si>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</si>
  <si>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</si>
  <si>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</si>
  <si>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</si>
  <si>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</si>
  <si>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</si>
  <si>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</si>
  <si>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</si>
  <si>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</si>
  <si>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</si>
  <si>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</si>
  <si>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</si>
  <si>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</si>
  <si>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</si>
  <si>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</si>
  <si>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</si>
  <si>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</si>
  <si>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</si>
  <si>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</si>
  <si>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</si>
  <si>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</si>
  <si>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</si>
  <si>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</si>
  <si>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</si>
  <si>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</si>
  <si>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</si>
  <si>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</si>
  <si>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</si>
  <si>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</si>
  <si>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</si>
  <si>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</si>
  <si>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</si>
  <si>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</si>
  <si>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</si>
  <si>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</si>
  <si>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</si>
  <si>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</si>
  <si>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</si>
  <si>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</si>
  <si>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</si>
  <si>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</si>
  <si>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</si>
  <si>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</si>
  <si>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</si>
  <si>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</si>
  <si>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</si>
  <si>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</si>
  <si>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</si>
  <si>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</si>
  <si>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</si>
  <si>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</si>
  <si>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</si>
  <si>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</si>
  <si>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Closed Bottom Structure</t>
  </si>
  <si>
    <t>Round Culvert</t>
  </si>
  <si>
    <t>No</t>
  </si>
  <si>
    <t>Deep Fill</t>
  </si>
  <si>
    <t>High</t>
  </si>
  <si>
    <t>Yes</t>
  </si>
  <si>
    <t>Medium</t>
  </si>
  <si>
    <t>AI</t>
  </si>
  <si>
    <t>Spur</t>
  </si>
  <si>
    <t>Tributary to McDonell Lake</t>
  </si>
  <si>
    <t>Dennis West FSR</t>
  </si>
  <si>
    <t>Wetzinkwa Community Forest Corporation</t>
  </si>
  <si>
    <t>BCTS R22433</t>
  </si>
  <si>
    <t>Tributary to Tagit Creek</t>
  </si>
  <si>
    <t>9946-27 Rd</t>
  </si>
  <si>
    <t>West Fraser Mills Ltd.</t>
  </si>
  <si>
    <t xml:space="preserve">Tributary to McDonell Lake </t>
  </si>
  <si>
    <t>MW TP VJ</t>
  </si>
  <si>
    <t>Tributary to Coal Creek</t>
  </si>
  <si>
    <t>McDonell FSR</t>
  </si>
  <si>
    <t>MOF 7552</t>
  </si>
  <si>
    <t>MW JO RB</t>
  </si>
  <si>
    <t xml:space="preserve">McDonell Lake FSR </t>
  </si>
  <si>
    <t>AR AF</t>
  </si>
  <si>
    <t>McDonell Lake FSR</t>
  </si>
  <si>
    <t>MOF 9946</t>
  </si>
  <si>
    <t>Pipe is in good condition. Nice habitat upstream and downstream. Very good flow for time of year. Dolly Varden captured upstream and downstream of crossing.. 13:30:02</t>
  </si>
  <si>
    <t>Small flowing stream. Fish captured in minnow traps in 2022.. 09:57:03</t>
  </si>
  <si>
    <t>Small trickle in stream,  very little flowing water. Stream runs halfway down culvert from inlet and then flows through holes underneath culvert. Stream gets wider upstream of crossing. Fish caught in the past above and below culvert. Deep outlet pool.. 09:49:51</t>
  </si>
  <si>
    <t>2 round culverts, one is not functional and was installed higher above stream channel. Culvert slope was estimated.CT observed in stream and historic CT FISS downstream.. 13:34:15</t>
  </si>
  <si>
    <t>Numerous fish spotted in outlet pool. Low flow but water present upstream and downstream.. 11:10:01</t>
  </si>
  <si>
    <t>Moderate value habitat. Habitat confirmation conducted on stream, walked from upstream crossing down through wetland type area to culvert. Mostly dewatered besides small section above this crossing and below the upper crossing. Surveyed from upstream to down and ended up on road approximately 40 m to the north. Stream seems to merge with wetland type area just upstream of the road. Fish sampling conducted with dolly varden captured in small (2.5m2) outlet pool. Cutthroat are known to be upstream of crossing.. 12:12:45</t>
  </si>
  <si>
    <t>Replace with New Open Bottom Structure</t>
  </si>
  <si>
    <t>Replace Structure with Streambed Simulation CBS</t>
  </si>
  <si>
    <t>00180607</t>
  </si>
  <si>
    <t>Al Irvine</t>
  </si>
  <si>
    <t>250-777-1518</t>
  </si>
  <si>
    <t>al@newgraphenvironment.com</t>
  </si>
  <si>
    <t>00198456</t>
  </si>
  <si>
    <t>skeena_2023_Phase2</t>
  </si>
  <si>
    <t>Tributary to Zymoetz River</t>
  </si>
  <si>
    <t>Nice stream with good flow and abundant gravel. Pipe is very under sized and appears to have been dredged at the upstream end to clear it. Fish observed in outlet pool.. 18:36:33</t>
  </si>
  <si>
    <t>Tributary to Houston Tommy Creek</t>
  </si>
  <si>
    <t>Canfor R07549</t>
  </si>
  <si>
    <t>Very good habitat upstream and downstream. Culvert is a little bent in the middle. Big outlet drop, fish spotted in outlet pool. Moderate flowing stream.. 14:35:45</t>
  </si>
  <si>
    <t>Holland Rd</t>
  </si>
  <si>
    <t>Deep outlet pool, culvert may be undersized. Relatively wide stream with good habitat, dolly varden confirmed downstream in the past.. 15:05:09</t>
  </si>
  <si>
    <t>Skeena Fish Passage Restoration Planning 2023 - Phase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</si>
</sst>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0">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2" fontId="5" fillId="0" borderId="0" xfId="2" applyNumberFormat="1" applyAlignment="1" applyProtection="1">
      <alignment horizontal="right"/>
      <protection locked="0"/>
    </xf>
    <xf numFmtId="49" fontId="0" fillId="0" borderId="0" xfId="0" applyNumberFormat="1"/>
    <xf numFmtId="0" fontId="22" fillId="0" borderId="0" xfId="1" applyAlignment="1" applyProtection="1"/>
    <xf numFmtId="0" fontId="5" fillId="0" borderId="0" xfId="2" applyProtection="1">
      <protection locked="0"/>
    </xf>
    <xf numFmtId="2" fontId="1" fillId="0" borderId="0" xfId="3" applyNumberFormat="1" applyProtection="1">
      <protection locked="0"/>
    </xf>
    <xf numFmtId="1" fontId="1" fillId="0" borderId="0" xfId="3" applyNumberFormat="1" applyProtection="1">
      <protection locked="0"/>
    </xf>
    <xf numFmtId="0" fontId="1" fillId="0" borderId="0" xfId="3" applyProtection="1">
      <protection locked="0"/>
    </xf>
    <xf numFmtId="2" fontId="5" fillId="0" borderId="0" xfId="2" applyNumberFormat="1" applyProtection="1">
      <protection locked="0"/>
    </xf>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7"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5" sqref="B5"/>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132</v>
      </c>
    </row>
    <row r="5" spans="1:20">
      <c r="A5" s="4" t="s">
        <v>58</v>
      </c>
      <c r="B5" t="s">
        <v>140</v>
      </c>
    </row>
    <row r="6" spans="1:20">
      <c r="A6" s="4"/>
      <c r="B6" s="10"/>
    </row>
    <row r="7" spans="1:20">
      <c r="A7" s="4" t="s">
        <v>86</v>
      </c>
      <c r="B7" s="79" t="s">
        <v>127</v>
      </c>
    </row>
    <row r="8" spans="1:20">
      <c r="A8" s="4" t="s">
        <v>73</v>
      </c>
      <c r="B8" t="s">
        <v>128</v>
      </c>
    </row>
    <row r="9" spans="1:20">
      <c r="A9" s="4" t="s">
        <v>74</v>
      </c>
      <c r="B9" t="s">
        <v>129</v>
      </c>
    </row>
    <row r="10" spans="1:20">
      <c r="A10" s="4" t="s">
        <v>75</v>
      </c>
      <c r="B10" s="80" t="s">
        <v>130</v>
      </c>
    </row>
    <row r="11" spans="1:20">
      <c r="A11" s="4"/>
      <c r="B11" s="10"/>
    </row>
    <row r="12" spans="1:20">
      <c r="A12" s="4" t="s">
        <v>36</v>
      </c>
      <c r="B12" s="79" t="s">
        <v>131</v>
      </c>
    </row>
    <row r="13" spans="1:20">
      <c r="A13" s="4" t="s">
        <v>37</v>
      </c>
      <c r="B13" t="s">
        <v>128</v>
      </c>
    </row>
    <row r="14" spans="1:20">
      <c r="A14" s="4" t="s">
        <v>38</v>
      </c>
      <c r="B14" t="s">
        <v>129</v>
      </c>
    </row>
    <row r="15" spans="1:20">
      <c r="A15" s="4" t="s">
        <v>39</v>
      </c>
      <c r="B15" s="80" t="s">
        <v>130</v>
      </c>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13:B15">
    <cfRule type="containsBlanks" dxfId="7" priority="2" stopIfTrue="1">
      <formula>LEN(TRIM(B13))=0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2">
    <cfRule type="containsBlanks" dxfId="4" priority="1" stopIfTrue="1">
      <formula>LEN(TRIM(B12))=0</formula>
    </cfRule>
  </conditionalFormatting>
  <conditionalFormatting sqref="B4:B5">
    <cfRule type="containsBlanks" dxfId="3" priority="5"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A0301620-7DA8-9849-912A-F625301C5B5C}">
      <formula1>0</formula1>
      <formula2>255</formula2>
    </dataValidation>
    <dataValidation type="custom" allowBlank="1" showInputMessage="1" showErrorMessage="1" errorTitle="Invalid Format" error="The Phone number must be 10 digits minimum. The format must match the following mask: ###-###-####" sqref="B9 B14" xr:uid="{AEEC393F-96F5-4F41-817E-905E9A6B8E8F}">
      <formula1>IF(LEN(B9)=12,LEN(B9)-LEN(SUBSTITUTE(B9,"-",""))=2,IF(LEN(B9)=10,LEN(B9)-LEN(SUBSTITUTE(B9,"-",""))=1,LEN(B9)=5))</formula1>
    </dataValidation>
    <dataValidation type="textLength" allowBlank="1" showInputMessage="1" showErrorMessage="1" sqref="B5 B10 B15" xr:uid="{359B0C69-39A2-D34D-9D50-41A134F894A8}">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31B1B40B-4AD1-E040-8972-C1799C681427}">
      <formula1>0</formula1>
      <formula2>8</formula2>
    </dataValidation>
  </dataValidations>
  <hyperlinks>
    <hyperlink ref="B10" r:id="rId1" xr:uid="{164BF5EA-14BB-D145-BA1B-EC13C027CF56}"/>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L16" sqref="L16"/>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59">
        <v>45188</v>
      </c>
      <c r="B5" s="58">
        <v>8478</v>
      </c>
      <c r="D5" s="10" t="s">
        <v>100</v>
      </c>
      <c r="E5" s="11">
        <v>9</v>
      </c>
      <c r="F5" s="39">
        <v>590065</v>
      </c>
      <c r="G5" s="39">
        <v>6069867</v>
      </c>
      <c r="H5" s="11" t="s">
        <v>109</v>
      </c>
      <c r="I5" s="11" t="s">
        <v>103</v>
      </c>
      <c r="J5" s="33"/>
      <c r="K5" s="11" t="s">
        <v>105</v>
      </c>
      <c r="L5" s="10" t="s">
        <v>93</v>
      </c>
      <c r="M5" s="10" t="s">
        <v>94</v>
      </c>
      <c r="N5" s="82">
        <v>1.9</v>
      </c>
      <c r="O5" s="82">
        <v>12</v>
      </c>
      <c r="P5" s="10" t="s">
        <v>95</v>
      </c>
      <c r="Q5" s="10"/>
      <c r="R5" s="10" t="s">
        <v>95</v>
      </c>
      <c r="S5" s="10" t="s">
        <v>95</v>
      </c>
      <c r="T5" s="10"/>
      <c r="U5" s="10">
        <v>1.5</v>
      </c>
      <c r="V5" s="10">
        <v>0.2</v>
      </c>
      <c r="W5" s="10">
        <v>0.25</v>
      </c>
      <c r="X5" s="10" t="s">
        <v>98</v>
      </c>
      <c r="Y5" s="10">
        <v>4</v>
      </c>
      <c r="Z5" s="10">
        <v>2.5</v>
      </c>
      <c r="AA5" s="10">
        <v>8</v>
      </c>
      <c r="AB5" s="10" t="s">
        <v>95</v>
      </c>
      <c r="AC5" s="10" t="s">
        <v>98</v>
      </c>
      <c r="AD5" s="10" t="s">
        <v>96</v>
      </c>
      <c r="AE5" s="10" t="s">
        <v>99</v>
      </c>
      <c r="AF5" s="20">
        <f>IF(ISBLANK(Z5), 0, IF(ISBLANK(N5) &lt; 0, 0,Z5 / N5))</f>
        <v>1.3157894736842106</v>
      </c>
      <c r="AG5" s="13">
        <f>IF(O5&lt;15,0,IF(AND(O5&gt;=15,O5&lt;30),3,IF(O5&gt;=30,6,0)))</f>
        <v>0</v>
      </c>
      <c r="AH5" s="7">
        <f>IF(P5 = "No", 10, IF(ISBLANK(N5), 0, IF(ISBLANK(Q5), 0, IF(OR(Q5 / N5 &lt;= 0.2, Q5 &lt; 0.3), 5, IF(OR(Q5 / N5 &gt;= 0.2, Q5 &gt;= 0.3), 0)))))</f>
        <v>10</v>
      </c>
      <c r="AI5" s="7">
        <f>IF(V5&lt;0.15,0,IF(AND(V5&gt;=0.15,V5&lt;0.3),5,IF(V5&gt;=0.3,10,0)))</f>
        <v>5</v>
      </c>
      <c r="AJ5" s="7">
        <f>IF(Y5&lt;1,0,IF(AND(Y5&gt;=1,Y5&lt;3),5,IF(Y5&gt;=3,10,0)))</f>
        <v>10</v>
      </c>
      <c r="AK5" s="7">
        <f>IF(AF5&lt;1,0,IF(AND(AF5&gt;=1,AF5&lt;1.3),3,IF(AF5&gt;=1.3,6,0)))</f>
        <v>6</v>
      </c>
      <c r="AL5" s="12">
        <f>AG5 + AH5 + AI5 + AJ5 + AK5</f>
        <v>31</v>
      </c>
      <c r="AM5" s="14" t="str">
        <f>IF(ISBLANK(L5), "", IF(L5 = "Open Bottom Structure", "Passable", IF(L5 = "Other", "Unknown", IF(AL5 &lt; 15, "Passable", IF(AND(AL5 &gt;= 15,AL5 &lt;= 19), "Potential", IF(AL5 &gt; 19, "Barrier", ""))))))</f>
        <v>Barrier</v>
      </c>
      <c r="AN5" s="10" t="s">
        <v>125</v>
      </c>
      <c r="AO5" s="10">
        <v>15</v>
      </c>
      <c r="AP5" s="81" t="s">
        <v>119</v>
      </c>
    </row>
    <row r="6" spans="1:42" ht="16">
      <c r="A6" s="59">
        <v>45188</v>
      </c>
      <c r="B6" s="58">
        <v>198947</v>
      </c>
      <c r="D6" s="10" t="s">
        <v>100</v>
      </c>
      <c r="E6" s="11">
        <v>9</v>
      </c>
      <c r="F6" s="39">
        <v>597637</v>
      </c>
      <c r="G6" s="39">
        <v>6070211</v>
      </c>
      <c r="H6" s="10" t="s">
        <v>133</v>
      </c>
      <c r="I6" s="11" t="s">
        <v>103</v>
      </c>
      <c r="J6" s="33"/>
      <c r="K6" s="10" t="s">
        <v>104</v>
      </c>
      <c r="L6" s="10" t="s">
        <v>93</v>
      </c>
      <c r="M6" s="10" t="s">
        <v>94</v>
      </c>
      <c r="N6" s="82">
        <v>0.6</v>
      </c>
      <c r="O6" s="82">
        <v>18.5</v>
      </c>
      <c r="P6" s="10" t="s">
        <v>95</v>
      </c>
      <c r="Q6" s="10"/>
      <c r="R6" s="10" t="s">
        <v>95</v>
      </c>
      <c r="S6" s="10" t="s">
        <v>95</v>
      </c>
      <c r="T6" s="10"/>
      <c r="U6" s="10">
        <v>1</v>
      </c>
      <c r="V6" s="10">
        <v>0.18</v>
      </c>
      <c r="W6" s="10">
        <v>0.4</v>
      </c>
      <c r="X6" s="10" t="s">
        <v>98</v>
      </c>
      <c r="Y6" s="10">
        <v>5</v>
      </c>
      <c r="Z6" s="10">
        <v>1.9</v>
      </c>
      <c r="AA6" s="10">
        <v>7</v>
      </c>
      <c r="AB6" s="10" t="s">
        <v>95</v>
      </c>
      <c r="AC6" s="10" t="s">
        <v>98</v>
      </c>
      <c r="AD6" s="10" t="s">
        <v>96</v>
      </c>
      <c r="AE6" s="10" t="s">
        <v>99</v>
      </c>
      <c r="AF6" s="20">
        <f t="shared" ref="AF6:AF11" si="0">IF(ISBLANK(Z6), 0, IF(ISBLANK(N6) &lt; 0, 0,Z6 / N6))</f>
        <v>3.1666666666666665</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10</v>
      </c>
      <c r="AK6" s="7">
        <f t="shared" ref="AK6:AK67" si="5">IF(AF6&lt;1,0,IF(AND(AF6&gt;=1,AF6&lt;1.3),3,IF(AF6&gt;=1.3,6,0)))</f>
        <v>6</v>
      </c>
      <c r="AL6" s="12">
        <f t="shared" ref="AL6:AL11" si="6">AG6 + AH6 + AI6 + AJ6 + AK6</f>
        <v>34</v>
      </c>
      <c r="AM6" s="14" t="str">
        <f t="shared" ref="AM6:AM67" si="7">IF(ISBLANK(L6), "", IF(L6 = "Open Bottom Structure", "Passable", IF(L6 = "Other", "Unknown", IF(AL6 &lt; 15, "Passable", IF(AND(AL6 &gt;= 15,AL6 &lt;= 19), "Potential", IF(AL6 &gt; 19, "Barrier", ""))))))</f>
        <v>Barrier</v>
      </c>
      <c r="AN6" s="86" t="s">
        <v>126</v>
      </c>
      <c r="AO6" s="86">
        <v>3</v>
      </c>
      <c r="AP6" s="81" t="s">
        <v>134</v>
      </c>
    </row>
    <row r="7" spans="1:42" ht="16">
      <c r="A7" s="59">
        <v>45196</v>
      </c>
      <c r="B7" s="58">
        <v>198022</v>
      </c>
      <c r="D7" s="10" t="s">
        <v>100</v>
      </c>
      <c r="E7" s="11">
        <v>9</v>
      </c>
      <c r="F7" s="39">
        <v>614703</v>
      </c>
      <c r="G7" s="39">
        <v>6009976</v>
      </c>
      <c r="H7" s="10" t="s">
        <v>106</v>
      </c>
      <c r="I7" s="11" t="s">
        <v>107</v>
      </c>
      <c r="J7" s="33"/>
      <c r="K7" s="10" t="s">
        <v>108</v>
      </c>
      <c r="L7" s="10" t="s">
        <v>93</v>
      </c>
      <c r="M7" s="10" t="s">
        <v>94</v>
      </c>
      <c r="N7" s="21">
        <v>1</v>
      </c>
      <c r="O7" s="21">
        <v>14.5</v>
      </c>
      <c r="P7" s="10" t="s">
        <v>95</v>
      </c>
      <c r="Q7" s="10"/>
      <c r="R7" s="10" t="s">
        <v>95</v>
      </c>
      <c r="S7" s="10" t="s">
        <v>95</v>
      </c>
      <c r="T7" s="10"/>
      <c r="U7" s="10">
        <v>2</v>
      </c>
      <c r="V7" s="10">
        <v>0</v>
      </c>
      <c r="W7" s="10">
        <v>0</v>
      </c>
      <c r="X7" s="10" t="s">
        <v>95</v>
      </c>
      <c r="Y7" s="10">
        <v>2</v>
      </c>
      <c r="Z7" s="10">
        <v>2.4</v>
      </c>
      <c r="AA7" s="10">
        <v>2</v>
      </c>
      <c r="AB7" s="10" t="s">
        <v>98</v>
      </c>
      <c r="AC7" s="10" t="s">
        <v>98</v>
      </c>
      <c r="AD7" s="10" t="s">
        <v>96</v>
      </c>
      <c r="AE7" s="10" t="s">
        <v>99</v>
      </c>
      <c r="AF7" s="20">
        <f t="shared" si="0"/>
        <v>2.4</v>
      </c>
      <c r="AG7" s="13">
        <f t="shared" si="1"/>
        <v>0</v>
      </c>
      <c r="AH7" s="7">
        <f t="shared" si="2"/>
        <v>10</v>
      </c>
      <c r="AI7" s="7">
        <f t="shared" si="3"/>
        <v>0</v>
      </c>
      <c r="AJ7" s="7">
        <f t="shared" si="4"/>
        <v>5</v>
      </c>
      <c r="AK7" s="7">
        <f t="shared" si="5"/>
        <v>6</v>
      </c>
      <c r="AL7" s="12">
        <f t="shared" si="6"/>
        <v>21</v>
      </c>
      <c r="AM7" s="14" t="str">
        <f t="shared" si="7"/>
        <v>Barrier</v>
      </c>
      <c r="AN7" s="10" t="s">
        <v>125</v>
      </c>
      <c r="AO7" s="10">
        <v>15</v>
      </c>
      <c r="AP7" s="10" t="s">
        <v>124</v>
      </c>
    </row>
    <row r="8" spans="1:42" ht="16">
      <c r="A8" s="59">
        <v>45231</v>
      </c>
      <c r="B8" s="83">
        <v>8547</v>
      </c>
      <c r="D8" s="10" t="s">
        <v>116</v>
      </c>
      <c r="E8" s="11">
        <v>9</v>
      </c>
      <c r="F8" s="39">
        <v>589988</v>
      </c>
      <c r="G8" s="39">
        <v>6072657</v>
      </c>
      <c r="H8" s="10" t="s">
        <v>102</v>
      </c>
      <c r="I8" s="11" t="s">
        <v>117</v>
      </c>
      <c r="J8" s="78"/>
      <c r="K8" s="84" t="s">
        <v>104</v>
      </c>
      <c r="L8" s="10" t="s">
        <v>93</v>
      </c>
      <c r="M8" s="10" t="s">
        <v>94</v>
      </c>
      <c r="N8" s="21">
        <v>0.9</v>
      </c>
      <c r="O8" s="21">
        <v>20</v>
      </c>
      <c r="P8" s="10" t="s">
        <v>95</v>
      </c>
      <c r="Q8" s="10"/>
      <c r="R8" s="10" t="s">
        <v>95</v>
      </c>
      <c r="S8" s="10" t="s">
        <v>95</v>
      </c>
      <c r="T8" s="10"/>
      <c r="U8" s="10">
        <v>3</v>
      </c>
      <c r="V8" s="10">
        <v>0.7</v>
      </c>
      <c r="W8" s="10">
        <v>0.5</v>
      </c>
      <c r="X8" s="10" t="s">
        <v>95</v>
      </c>
      <c r="Y8" s="10">
        <v>3</v>
      </c>
      <c r="Z8" s="10">
        <v>1.9</v>
      </c>
      <c r="AA8" s="10">
        <v>3</v>
      </c>
      <c r="AB8" s="10" t="s">
        <v>95</v>
      </c>
      <c r="AC8" s="10" t="s">
        <v>95</v>
      </c>
      <c r="AD8" s="10" t="s">
        <v>96</v>
      </c>
      <c r="AE8" s="10" t="s">
        <v>97</v>
      </c>
      <c r="AF8" s="20">
        <f t="shared" si="0"/>
        <v>2.1111111111111112</v>
      </c>
      <c r="AG8" s="13">
        <f t="shared" si="1"/>
        <v>3</v>
      </c>
      <c r="AH8" s="7">
        <f t="shared" si="2"/>
        <v>10</v>
      </c>
      <c r="AI8" s="7">
        <f t="shared" si="3"/>
        <v>10</v>
      </c>
      <c r="AJ8" s="7">
        <f t="shared" si="4"/>
        <v>10</v>
      </c>
      <c r="AK8" s="7">
        <f t="shared" si="5"/>
        <v>6</v>
      </c>
      <c r="AL8" s="12">
        <f t="shared" si="6"/>
        <v>39</v>
      </c>
      <c r="AM8" s="14" t="str">
        <f t="shared" si="7"/>
        <v>Barrier</v>
      </c>
      <c r="AN8" s="10" t="s">
        <v>126</v>
      </c>
      <c r="AO8" s="10">
        <v>3</v>
      </c>
      <c r="AP8" s="10" t="s">
        <v>122</v>
      </c>
    </row>
    <row r="9" spans="1:42" ht="16">
      <c r="A9" s="59">
        <v>45181</v>
      </c>
      <c r="B9" s="58">
        <v>198934</v>
      </c>
      <c r="D9" s="10" t="s">
        <v>92</v>
      </c>
      <c r="E9" s="11">
        <v>9</v>
      </c>
      <c r="F9" s="39">
        <v>631703</v>
      </c>
      <c r="G9" s="39">
        <v>6017418</v>
      </c>
      <c r="H9" s="81" t="s">
        <v>135</v>
      </c>
      <c r="I9" s="11" t="s">
        <v>101</v>
      </c>
      <c r="J9" s="33"/>
      <c r="K9" s="84" t="s">
        <v>136</v>
      </c>
      <c r="L9" s="10" t="s">
        <v>93</v>
      </c>
      <c r="M9" s="10" t="s">
        <v>94</v>
      </c>
      <c r="N9" s="21">
        <v>1.6</v>
      </c>
      <c r="O9" s="21">
        <v>18</v>
      </c>
      <c r="P9" s="10" t="s">
        <v>95</v>
      </c>
      <c r="Q9" s="10"/>
      <c r="R9" s="10" t="s">
        <v>95</v>
      </c>
      <c r="S9" s="10" t="s">
        <v>95</v>
      </c>
      <c r="T9" s="10"/>
      <c r="U9" s="10">
        <v>8</v>
      </c>
      <c r="V9" s="10">
        <v>0.7</v>
      </c>
      <c r="W9" s="10">
        <v>0.5</v>
      </c>
      <c r="X9" s="10" t="s">
        <v>95</v>
      </c>
      <c r="Y9" s="10">
        <v>4</v>
      </c>
      <c r="Z9" s="10">
        <v>3.3</v>
      </c>
      <c r="AA9" s="10">
        <v>3</v>
      </c>
      <c r="AB9" s="10" t="s">
        <v>95</v>
      </c>
      <c r="AC9" s="10" t="s">
        <v>98</v>
      </c>
      <c r="AD9" s="10" t="s">
        <v>96</v>
      </c>
      <c r="AE9" s="10" t="s">
        <v>97</v>
      </c>
      <c r="AF9" s="20">
        <f t="shared" si="0"/>
        <v>2.0624999999999996</v>
      </c>
      <c r="AG9" s="13">
        <f t="shared" si="1"/>
        <v>3</v>
      </c>
      <c r="AH9" s="7">
        <f t="shared" si="2"/>
        <v>10</v>
      </c>
      <c r="AI9" s="7">
        <f t="shared" si="3"/>
        <v>10</v>
      </c>
      <c r="AJ9" s="7">
        <f t="shared" si="4"/>
        <v>10</v>
      </c>
      <c r="AK9" s="7">
        <f t="shared" si="5"/>
        <v>6</v>
      </c>
      <c r="AL9" s="12">
        <f t="shared" si="6"/>
        <v>39</v>
      </c>
      <c r="AM9" s="14" t="str">
        <f t="shared" si="7"/>
        <v>Barrier</v>
      </c>
      <c r="AN9" s="86" t="s">
        <v>126</v>
      </c>
      <c r="AO9" s="86">
        <v>4.5</v>
      </c>
      <c r="AP9" s="10" t="s">
        <v>137</v>
      </c>
    </row>
    <row r="10" spans="1:42" ht="16">
      <c r="A10" s="59">
        <v>45181</v>
      </c>
      <c r="B10" s="58">
        <v>198942</v>
      </c>
      <c r="D10" s="10" t="s">
        <v>92</v>
      </c>
      <c r="E10" s="11">
        <v>9</v>
      </c>
      <c r="F10" s="39">
        <v>631508</v>
      </c>
      <c r="G10" s="39">
        <v>6018096</v>
      </c>
      <c r="H10" s="81" t="s">
        <v>135</v>
      </c>
      <c r="I10" s="11" t="s">
        <v>138</v>
      </c>
      <c r="J10" s="33"/>
      <c r="K10" s="10" t="s">
        <v>136</v>
      </c>
      <c r="L10" s="10" t="s">
        <v>93</v>
      </c>
      <c r="M10" s="10" t="s">
        <v>94</v>
      </c>
      <c r="N10" s="21">
        <v>1.2</v>
      </c>
      <c r="O10" s="21">
        <v>14</v>
      </c>
      <c r="P10" s="10" t="s">
        <v>95</v>
      </c>
      <c r="R10" s="10" t="s">
        <v>95</v>
      </c>
      <c r="S10" s="10" t="s">
        <v>95</v>
      </c>
      <c r="U10" s="21">
        <v>0.7</v>
      </c>
      <c r="V10" s="10">
        <v>0.1</v>
      </c>
      <c r="W10" s="21">
        <v>0.7</v>
      </c>
      <c r="X10" s="10" t="s">
        <v>95</v>
      </c>
      <c r="Y10" s="21">
        <v>1</v>
      </c>
      <c r="Z10" s="21">
        <v>1.9</v>
      </c>
      <c r="AA10" s="10">
        <v>2</v>
      </c>
      <c r="AB10" s="10" t="s">
        <v>95</v>
      </c>
      <c r="AC10" s="10" t="s">
        <v>95</v>
      </c>
      <c r="AD10" s="10" t="s">
        <v>96</v>
      </c>
      <c r="AE10" s="10" t="s">
        <v>97</v>
      </c>
      <c r="AF10" s="20">
        <f t="shared" si="0"/>
        <v>1.5833333333333333</v>
      </c>
      <c r="AG10" s="13">
        <f t="shared" si="1"/>
        <v>0</v>
      </c>
      <c r="AH10" s="7">
        <f t="shared" si="2"/>
        <v>10</v>
      </c>
      <c r="AI10" s="7">
        <f t="shared" si="3"/>
        <v>0</v>
      </c>
      <c r="AJ10" s="7">
        <f t="shared" si="4"/>
        <v>5</v>
      </c>
      <c r="AK10" s="7">
        <f t="shared" si="5"/>
        <v>6</v>
      </c>
      <c r="AL10" s="12">
        <f t="shared" si="6"/>
        <v>21</v>
      </c>
      <c r="AM10" s="14" t="str">
        <f t="shared" si="7"/>
        <v>Barrier</v>
      </c>
      <c r="AN10" s="86" t="s">
        <v>126</v>
      </c>
      <c r="AO10" s="87">
        <v>3</v>
      </c>
      <c r="AP10" s="10" t="s">
        <v>139</v>
      </c>
    </row>
    <row r="11" spans="1:42" ht="16">
      <c r="A11" s="59">
        <v>45196</v>
      </c>
      <c r="B11" s="58">
        <v>197949</v>
      </c>
      <c r="C11" s="81"/>
      <c r="D11" s="10" t="s">
        <v>92</v>
      </c>
      <c r="E11" s="10">
        <v>9</v>
      </c>
      <c r="F11" s="85">
        <v>614404</v>
      </c>
      <c r="G11" s="85">
        <v>6010346</v>
      </c>
      <c r="H11" s="81" t="s">
        <v>106</v>
      </c>
      <c r="I11" s="11" t="s">
        <v>101</v>
      </c>
      <c r="J11" s="33"/>
      <c r="K11" s="10" t="s">
        <v>118</v>
      </c>
      <c r="L11" s="10" t="s">
        <v>93</v>
      </c>
      <c r="M11" s="10" t="s">
        <v>94</v>
      </c>
      <c r="N11" s="21">
        <v>1.2</v>
      </c>
      <c r="O11" s="21">
        <v>14</v>
      </c>
      <c r="P11" s="10" t="s">
        <v>95</v>
      </c>
      <c r="R11" s="10" t="s">
        <v>95</v>
      </c>
      <c r="S11" s="10" t="s">
        <v>95</v>
      </c>
      <c r="U11" s="21">
        <v>1.2</v>
      </c>
      <c r="V11" s="10">
        <v>0.5</v>
      </c>
      <c r="W11" s="21">
        <v>0.6</v>
      </c>
      <c r="X11" s="10" t="s">
        <v>95</v>
      </c>
      <c r="Y11" s="21">
        <v>2</v>
      </c>
      <c r="Z11" s="21">
        <v>2.2999999999999998</v>
      </c>
      <c r="AA11" s="10">
        <v>2</v>
      </c>
      <c r="AB11" s="10" t="s">
        <v>95</v>
      </c>
      <c r="AC11" s="10" t="s">
        <v>98</v>
      </c>
      <c r="AD11" s="10" t="s">
        <v>96</v>
      </c>
      <c r="AE11" s="10" t="s">
        <v>97</v>
      </c>
      <c r="AF11" s="20">
        <f t="shared" si="0"/>
        <v>1.9166666666666665</v>
      </c>
      <c r="AG11" s="13">
        <f t="shared" si="1"/>
        <v>0</v>
      </c>
      <c r="AH11" s="7">
        <f t="shared" si="2"/>
        <v>10</v>
      </c>
      <c r="AI11" s="7">
        <f t="shared" si="3"/>
        <v>10</v>
      </c>
      <c r="AJ11" s="7">
        <f>IF(Y11&lt;1,0,IF(AND(Y11&gt;=1,Y11&lt;3),5,IF(Y11&gt;=3,10,0)))</f>
        <v>5</v>
      </c>
      <c r="AK11" s="7">
        <f t="shared" si="5"/>
        <v>6</v>
      </c>
      <c r="AL11" s="12">
        <f t="shared" si="6"/>
        <v>31</v>
      </c>
      <c r="AM11" s="14" t="str">
        <f t="shared" si="7"/>
        <v>Barrier</v>
      </c>
      <c r="AN11" s="10" t="s">
        <v>125</v>
      </c>
      <c r="AO11" s="10">
        <v>15</v>
      </c>
      <c r="AP11" s="10" t="s">
        <v>123</v>
      </c>
    </row>
    <row r="12" spans="1:42" ht="64">
      <c r="A12" s="59">
        <v>45189</v>
      </c>
      <c r="B12" s="58">
        <v>8543</v>
      </c>
      <c r="D12" s="10" t="s">
        <v>114</v>
      </c>
      <c r="E12" s="11">
        <v>9</v>
      </c>
      <c r="F12" s="39">
        <v>592142</v>
      </c>
      <c r="G12" s="39">
        <v>6072357</v>
      </c>
      <c r="H12" s="11" t="s">
        <v>102</v>
      </c>
      <c r="I12" s="11" t="s">
        <v>115</v>
      </c>
      <c r="J12" s="33">
        <v>23</v>
      </c>
      <c r="K12" s="11" t="s">
        <v>104</v>
      </c>
      <c r="L12" s="10" t="s">
        <v>93</v>
      </c>
      <c r="M12" s="10" t="s">
        <v>94</v>
      </c>
      <c r="N12" s="21">
        <v>1.2</v>
      </c>
      <c r="O12" s="21">
        <v>14</v>
      </c>
      <c r="P12" s="10" t="s">
        <v>95</v>
      </c>
      <c r="Q12" s="10"/>
      <c r="R12" s="10" t="s">
        <v>95</v>
      </c>
      <c r="S12" s="10" t="s">
        <v>95</v>
      </c>
      <c r="U12" s="21">
        <v>1</v>
      </c>
      <c r="V12" s="10">
        <v>0.5</v>
      </c>
      <c r="W12" s="21">
        <v>0.8</v>
      </c>
      <c r="X12" s="10" t="s">
        <v>95</v>
      </c>
      <c r="Y12" s="21">
        <v>3</v>
      </c>
      <c r="Z12" s="21">
        <v>1.8</v>
      </c>
      <c r="AA12" s="10">
        <v>5</v>
      </c>
      <c r="AB12" s="10" t="s">
        <v>95</v>
      </c>
      <c r="AC12" s="10" t="s">
        <v>95</v>
      </c>
      <c r="AD12" s="10" t="s">
        <v>96</v>
      </c>
      <c r="AE12" s="10" t="s">
        <v>99</v>
      </c>
      <c r="AF12" s="20">
        <f t="shared" ref="AF12:AF72" si="8">IF(ISBLANK(Z12), 0, IF(ISBLANK(N12) &lt; 0, 0,Z12 / N12))</f>
        <v>1.5</v>
      </c>
      <c r="AG12" s="13">
        <f t="shared" si="1"/>
        <v>0</v>
      </c>
      <c r="AH12" s="7">
        <f t="shared" si="2"/>
        <v>10</v>
      </c>
      <c r="AI12" s="7">
        <f t="shared" si="3"/>
        <v>10</v>
      </c>
      <c r="AJ12" s="7">
        <f t="shared" si="4"/>
        <v>10</v>
      </c>
      <c r="AK12" s="7">
        <f t="shared" si="5"/>
        <v>6</v>
      </c>
      <c r="AL12" s="12">
        <f t="shared" ref="AL12:AL70" si="9">AG12 + AH12 + AI12 + AJ12 + AK12</f>
        <v>36</v>
      </c>
      <c r="AM12" s="14" t="str">
        <f t="shared" si="7"/>
        <v>Barrier</v>
      </c>
      <c r="AN12" s="10" t="s">
        <v>126</v>
      </c>
      <c r="AO12" s="21">
        <v>3</v>
      </c>
      <c r="AP12" s="10" t="s">
        <v>121</v>
      </c>
    </row>
    <row r="13" spans="1:42" ht="16">
      <c r="A13" s="59">
        <v>45187</v>
      </c>
      <c r="B13" s="58">
        <v>8525</v>
      </c>
      <c r="D13" s="10" t="s">
        <v>110</v>
      </c>
      <c r="E13" s="11">
        <v>9</v>
      </c>
      <c r="F13" s="39">
        <v>580998</v>
      </c>
      <c r="G13" s="39">
        <v>6074681</v>
      </c>
      <c r="H13" s="11" t="s">
        <v>111</v>
      </c>
      <c r="I13" s="11" t="s">
        <v>112</v>
      </c>
      <c r="K13" s="11" t="s">
        <v>113</v>
      </c>
      <c r="L13" s="10" t="s">
        <v>93</v>
      </c>
      <c r="M13" s="10" t="s">
        <v>94</v>
      </c>
      <c r="N13" s="21">
        <v>0.9</v>
      </c>
      <c r="O13" s="21">
        <v>28</v>
      </c>
      <c r="P13" s="10" t="s">
        <v>95</v>
      </c>
      <c r="Q13" s="10"/>
      <c r="R13" s="10" t="s">
        <v>95</v>
      </c>
      <c r="S13" s="10" t="s">
        <v>95</v>
      </c>
      <c r="T13" s="10"/>
      <c r="U13" s="21">
        <v>2</v>
      </c>
      <c r="V13" s="10">
        <v>0.5</v>
      </c>
      <c r="W13" s="21">
        <v>0.2</v>
      </c>
      <c r="X13" s="10" t="s">
        <v>95</v>
      </c>
      <c r="Y13" s="21">
        <v>1</v>
      </c>
      <c r="Z13" s="21">
        <v>1.9</v>
      </c>
      <c r="AA13" s="10">
        <v>4</v>
      </c>
      <c r="AB13" s="10" t="s">
        <v>95</v>
      </c>
      <c r="AC13" s="10" t="s">
        <v>95</v>
      </c>
      <c r="AD13" s="10" t="s">
        <v>96</v>
      </c>
      <c r="AE13" s="10" t="s">
        <v>99</v>
      </c>
      <c r="AF13" s="20">
        <f t="shared" si="8"/>
        <v>2.1111111111111112</v>
      </c>
      <c r="AG13" s="13">
        <f t="shared" si="1"/>
        <v>3</v>
      </c>
      <c r="AH13" s="7">
        <f t="shared" si="2"/>
        <v>10</v>
      </c>
      <c r="AI13" s="7">
        <f t="shared" si="3"/>
        <v>10</v>
      </c>
      <c r="AJ13" s="7">
        <f t="shared" si="4"/>
        <v>5</v>
      </c>
      <c r="AK13" s="7">
        <f t="shared" si="5"/>
        <v>6</v>
      </c>
      <c r="AL13" s="12">
        <f t="shared" si="9"/>
        <v>34</v>
      </c>
      <c r="AM13" s="14" t="str">
        <f t="shared" si="7"/>
        <v>Barrier</v>
      </c>
      <c r="AN13" s="10" t="s">
        <v>126</v>
      </c>
      <c r="AO13" s="21">
        <v>3</v>
      </c>
      <c r="AP13" s="10" t="s">
        <v>120</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ZJKzVDtVzOzg8v0Pgpk8YnHNb0yyluN8mIN6F9avHpqbobgNnETLpjXnbHedXk34CzznVmJ8rEhD+zi0RQ0FRA==" saltValue="zg1dy8mAJhkt7bY1sXiYQ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3">
    <dataValidation type="list" allowBlank="1" showInputMessage="1" showErrorMessage="1" sqref="AM5284:AM65536" xr:uid="{00000000-0002-0000-0200-000000000000}">
      <formula1>"Passable, Potential, Barrier, Unkown"</formula1>
    </dataValidation>
    <dataValidation type="list" allowBlank="1" showInputMessage="1" showErrorMessage="1" sqref="M4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2 Q42 Q4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2 N42 N4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45:M47 M43 M33:M41 M5:M31" xr:uid="{570CFEBD-71A2-B74B-A210-955F21DBB481}">
      <formula1>"Round Culvert,Oval Culvert,Concrete Box"</formula1>
    </dataValidation>
    <dataValidation type="decimal" allowBlank="1" showInputMessage="1" showErrorMessage="1" errorTitle="Invalid Diamter or Span" error="The Diameter or Span entered is invalid. Diameter or Span must be &gt; 0 and &lt; 300" sqref="N45:N47 N43 N33:N41 N5:N31" xr:uid="{A9771709-3646-524F-8663-D11C7B858E7E}">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33" xr:uid="{5C488EED-719F-294D-9215-76080A5F0FE7}">
      <formula1>0.01</formula1>
      <formula2>1.59</formula2>
    </dataValidation>
    <dataValidation type="decimal" allowBlank="1" showInputMessage="1" showErrorMessage="1" errorTitle="Invalid value entered" error="The Average Depth Embededdment you entered is invalid. The Average Depth Embededdment must be &lt;= 0.74 and &gt;= 0.01" sqref="Q37" xr:uid="{28BFDF95-60EE-F34B-9D09-7D01A67EF8A4}">
      <formula1>0.01</formula1>
      <formula2>0.74</formula2>
    </dataValidation>
    <dataValidation type="decimal" allowBlank="1" showInputMessage="1" showErrorMessage="1" errorTitle="Invalid value entered" error="The Average Depth Embededdment you entered is invalid. The Average Depth Embededdment must be &lt;= 1.99 and &gt;= 0.01" sqref="Q17" xr:uid="{F5AEA0EE-514A-9E49-B899-06DED2ADAD99}">
      <formula1>0.01</formula1>
      <formula2>1.99</formula2>
    </dataValidation>
    <dataValidation type="decimal" allowBlank="1" showInputMessage="1" showErrorMessage="1" errorTitle="Invalid value entered" error="The Average Depth Embededdment you entered is invalid. The Average Depth Embededdment must be &lt;= 0.89 and &gt;= 0.01" sqref="Q23 Q39 Q35 Q30 Q8 Q6" xr:uid="{65AB1A12-4B6F-9A43-869E-90C15E7A7230}">
      <formula1>0.01</formula1>
      <formula2>0.89</formula2>
    </dataValidation>
    <dataValidation type="decimal" allowBlank="1" showInputMessage="1" showErrorMessage="1" errorTitle="Invalid value entered" error="The Average Depth Embededdment you entered is invalid. The Average Depth Embededdment must be &lt;= 1.49 and &gt;= 0.01" sqref="Q31 Q29 Q24 Q15:Q16 Q10" xr:uid="{F8D9B2F6-EA5E-DB49-8541-46FB10DEE61F}">
      <formula1>0.01</formula1>
      <formula2>1.49</formula2>
    </dataValidation>
    <dataValidation type="decimal" allowBlank="1" showInputMessage="1" showErrorMessage="1" errorTitle="Invalid value entered" error="The Average Depth Embededdment you entered is invalid. The Average Depth Embededdment must be &lt;= 3.09 and &gt;= 0.01" sqref="Q18" xr:uid="{79F3526F-6BBB-1942-AD79-FE10689A5768}">
      <formula1>0.01</formula1>
      <formula2>3.09</formula2>
    </dataValidation>
    <dataValidation type="decimal" allowBlank="1" showInputMessage="1" showErrorMessage="1" errorTitle="Invalid value entered" error="The Average Depth Embededdment you entered is invalid. The Average Depth Embededdment must be &lt;= 0.99 and &gt;= 0.01" sqref="Q19 Q47 Q40 Q28 Q12" xr:uid="{DCDDDB17-0076-A849-9456-D7AE67D044FB}">
      <formula1>0.01</formula1>
      <formula2>0.99</formula2>
    </dataValidation>
    <dataValidation type="decimal" allowBlank="1" showInputMessage="1" showErrorMessage="1" errorTitle="Invalid value entered" error="The Average Depth Embededdment you entered is invalid. The Average Depth Embededdment must be &lt;= 2.49 and &gt;= 0.01" sqref="Q20 Q14" xr:uid="{A73BEAAB-0C63-034C-A342-2F7E6FF06AD8}">
      <formula1>0.01</formula1>
      <formula2>2.49</formula2>
    </dataValidation>
    <dataValidation type="decimal" allowBlank="1" showInputMessage="1" showErrorMessage="1" errorTitle="Invalid value entered" error="The Average Depth Embededdment you entered is invalid. The Average Depth Embededdment must be &lt;= 4.79 and &gt;= 0.01" sqref="Q21" xr:uid="{7FB13CDD-5014-E04B-93F5-D48F095ABCFC}">
      <formula1>0.01</formula1>
      <formula2>4.79</formula2>
    </dataValidation>
    <dataValidation type="decimal" allowBlank="1" showInputMessage="1" showErrorMessage="1" errorTitle="Invalid value entered" error="The Average Depth Embededdment you entered is invalid. The Average Depth Embededdment must be &lt;= 4.99 and &gt;= 0.01" sqref="Q22 Q44" xr:uid="{73296426-7B77-EB4B-8E45-2E91462FB541}">
      <formula1>0.01</formula1>
      <formula2>4.99</formula2>
    </dataValidation>
    <dataValidation type="decimal" allowBlank="1" showInputMessage="1" showErrorMessage="1" errorTitle="Invalid value entered" error="The Average Depth Embededdment you entered is invalid. The Average Depth Embededdment must be &lt;= 0.59 and &gt;= 0.01" sqref="Q25 Q46 Q43 Q27" xr:uid="{B6F2D605-6F05-A942-8F82-6CE9FBAE2195}">
      <formula1>0.01</formula1>
      <formula2>0.59</formula2>
    </dataValidation>
    <dataValidation type="decimal" allowBlank="1" showInputMessage="1" showErrorMessage="1" errorTitle="Invalid value entered" error="The Average Depth Embededdment you entered is invalid. The Average Depth Embededdment must be &lt;= 3.49 and &gt;= 0.01" sqref="Q26" xr:uid="{FFA78021-21F5-9544-A388-6AD65B155CE8}">
      <formula1>0.01</formula1>
      <formula2>3.49</formula2>
    </dataValidation>
    <dataValidation type="list" allowBlank="1" showInputMessage="1" showErrorMessage="1" errorTitle="Invalid value entered" error="The crossing subtype is not compatible with a crossing type of Other" sqref="M32 M42" xr:uid="{FE79A2C5-2369-F545-8CAF-06AEDB69E600}">
      <formula1>"Ford"</formula1>
    </dataValidation>
    <dataValidation type="decimal" allowBlank="1" showInputMessage="1" showErrorMessage="1" errorTitle="Invalid value entered" error="The Average Depth Embededdment you entered is invalid. The Average Depth Embededdment must be &lt;= 1.19 and &gt;= 0.01" sqref="Q34 Q41 Q36 Q11 Q7" xr:uid="{AA95FE8F-1A52-A342-93C8-318DF7C67044}">
      <formula1>0.01</formula1>
      <formula2>1.19</formula2>
    </dataValidation>
    <dataValidation type="decimal" allowBlank="1" showInputMessage="1" showErrorMessage="1" errorTitle="Invalid value entered" error="The Average Depth Embededdment you entered is invalid. The Average Depth Embededdment must be &lt;= 1.29 and &gt;= 0.01" sqref="Q38" xr:uid="{68414F7B-07A2-4D40-95B6-505DB43C1A35}">
      <formula1>0.01</formula1>
      <formula2>1.29</formula2>
    </dataValidation>
    <dataValidation type="list" allowBlank="1" showInputMessage="1" showErrorMessage="1" errorTitle="Invalid value entered" error="The crossing subtype is not compatible with a crossing type of Open Bottom Structure" sqref="M44" xr:uid="{90E7A2FD-9E6A-CF4A-8CBA-00A40FAAFA43}">
      <formula1>"Bridge, Pipe Arch, Wood Box Culvert"</formula1>
    </dataValidation>
    <dataValidation type="decimal" allowBlank="1" showInputMessage="1" showErrorMessage="1" errorTitle="Invalid Diamter or Span" error="The Diameter or Span entered is invalid. Diameter or Span must be &gt; 0 and &lt; 100" sqref="N44" xr:uid="{BC5457A6-DDBB-1C49-8EEF-D3A0EA324681}">
      <formula1>0.01</formula1>
      <formula2>100</formula2>
    </dataValidation>
    <dataValidation type="decimal" allowBlank="1" showInputMessage="1" showErrorMessage="1" errorTitle="Invalid value entered" error="The Average Depth Embededdment you entered is invalid. The Average Depth Embededdment must be &lt;= 1.09 and &gt;= 0.01" sqref="Q45" xr:uid="{F0CF43FA-4E61-3346-B54B-790529CBA749}">
      <formula1>0.01</formula1>
      <formula2>1.09</formula2>
    </dataValidation>
    <dataValidation type="decimal" allowBlank="1" showInputMessage="1" showErrorMessage="1" errorTitle="Invalid value entered" error="The Average Depth Embededdment you entered is invalid. The Average Depth Embededdment must be &lt;= 1.89 and &gt;= 0.01" sqref="Q5" xr:uid="{E9EAD29F-1F1D-E24D-88B4-B7E6E3DFD580}">
      <formula1>0.01</formula1>
      <formula2>1.89</formula2>
    </dataValidation>
    <dataValidation type="decimal" allowBlank="1" showInputMessage="1" showErrorMessage="1" errorTitle="Invalid value entered" error="The Average Depth Embededdment you entered is invalid. The Average Depth Embededdment must be &lt;= 2.09 and &gt;= 0.01" sqref="Q9" xr:uid="{BB9E2B9C-98A7-5F47-8713-E43E7045DDAF}">
      <formula1>0.01</formula1>
      <formula2>2.09</formula2>
    </dataValidation>
    <dataValidation type="decimal" allowBlank="1" showInputMessage="1" showErrorMessage="1" errorTitle="Invalid value entered" error="The Average Depth Embededdment you entered is invalid. The Average Depth Embededdment must be &lt;= 3.69 and &gt;= 0.01" sqref="Q13" xr:uid="{916118A2-6D01-7441-B4BC-2AC17A7B8763}">
      <formula1>0.01</formula1>
      <formula2>3.69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2024-04-30T00:05:53Z</dcterms:modified>
</cp:coreProperties>
</file>